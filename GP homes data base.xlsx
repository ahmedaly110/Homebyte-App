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hidePivotFieldList="1" defaultThemeVersion="166925"/>
  <xr:revisionPtr revIDLastSave="0" documentId="8_{C72E8C17-3BB2-415A-8E11-8215D5975937}" xr6:coauthVersionLast="47" xr6:coauthVersionMax="47" xr10:uidLastSave="{00000000-0000-0000-0000-000000000000}"/>
  <bookViews>
    <workbookView xWindow="240" yWindow="105" windowWidth="14805" windowHeight="8010" firstSheet="1" activeTab="1" xr2:uid="{00000000-000D-0000-FFFF-FFFF00000000}"/>
  </bookViews>
  <sheets>
    <sheet name="Data" sheetId="1" r:id="rId1"/>
    <sheet name="analysis" sheetId="2" r:id="rId2"/>
  </sheets>
  <definedNames>
    <definedName name="_xlnm._FilterDatabase" localSheetId="0" hidden="1">Data!$A$1:$M$150</definedName>
  </definedNames>
  <calcPr calcId="191028"/>
  <pivotCaches>
    <pivotCache cacheId="41"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1" l="1"/>
  <c r="J2" i="1"/>
  <c r="L2" i="1"/>
  <c r="J3" i="1"/>
  <c r="L3" i="1"/>
  <c r="J4" i="1"/>
  <c r="L4" i="1"/>
  <c r="J5" i="1"/>
  <c r="L5" i="1"/>
  <c r="M5" i="1" s="1"/>
  <c r="J6" i="1"/>
  <c r="L6" i="1"/>
  <c r="J7" i="1"/>
  <c r="L7" i="1"/>
  <c r="M7" i="1" s="1"/>
  <c r="J8" i="1"/>
  <c r="J9" i="1"/>
  <c r="L9" i="1"/>
  <c r="J10" i="1"/>
  <c r="L10" i="1"/>
  <c r="J11" i="1"/>
  <c r="L11" i="1"/>
  <c r="M11" i="1" s="1"/>
  <c r="J12" i="1"/>
  <c r="L12" i="1"/>
  <c r="J13" i="1"/>
  <c r="L13" i="1"/>
  <c r="J14" i="1"/>
  <c r="L14" i="1"/>
  <c r="J15" i="1"/>
  <c r="L15" i="1"/>
  <c r="J16" i="1"/>
  <c r="L16" i="1"/>
  <c r="J17" i="1"/>
  <c r="L17" i="1"/>
  <c r="J18" i="1"/>
  <c r="L18" i="1"/>
  <c r="J19" i="1"/>
  <c r="L19" i="1"/>
  <c r="M19" i="1" s="1"/>
  <c r="J20" i="1"/>
  <c r="L20" i="1"/>
  <c r="M20" i="1" s="1"/>
  <c r="J21" i="1"/>
  <c r="L21" i="1"/>
  <c r="J22" i="1"/>
  <c r="L22" i="1"/>
  <c r="M22" i="1" s="1"/>
  <c r="J23" i="1"/>
  <c r="L23" i="1"/>
  <c r="J24" i="1"/>
  <c r="L24" i="1"/>
  <c r="J25" i="1"/>
  <c r="L25" i="1"/>
  <c r="J26" i="1"/>
  <c r="L26" i="1"/>
  <c r="J27" i="1"/>
  <c r="L27" i="1"/>
  <c r="J28" i="1"/>
  <c r="L28" i="1"/>
  <c r="J29" i="1"/>
  <c r="L29" i="1"/>
  <c r="M29" i="1" s="1"/>
  <c r="J30" i="1"/>
  <c r="L30" i="1"/>
  <c r="J31" i="1"/>
  <c r="L31" i="1"/>
  <c r="J32" i="1"/>
  <c r="L32" i="1"/>
  <c r="J33" i="1"/>
  <c r="L33" i="1"/>
  <c r="J34" i="1"/>
  <c r="L34" i="1"/>
  <c r="J35" i="1"/>
  <c r="L35" i="1"/>
  <c r="M35" i="1" s="1"/>
  <c r="J36" i="1"/>
  <c r="L36" i="1"/>
  <c r="J37" i="1"/>
  <c r="L37" i="1"/>
  <c r="M37" i="1" s="1"/>
  <c r="J38" i="1"/>
  <c r="L38" i="1"/>
  <c r="J39" i="1"/>
  <c r="L39" i="1"/>
  <c r="J40" i="1"/>
  <c r="L40" i="1"/>
  <c r="M40" i="1" s="1"/>
  <c r="J41" i="1"/>
  <c r="L41" i="1"/>
  <c r="J42" i="1"/>
  <c r="L42" i="1"/>
  <c r="J43" i="1"/>
  <c r="L43" i="1"/>
  <c r="M43" i="1" s="1"/>
  <c r="J44" i="1"/>
  <c r="L44" i="1"/>
  <c r="J45" i="1"/>
  <c r="L45" i="1"/>
  <c r="J46" i="1"/>
  <c r="L46" i="1"/>
  <c r="J47" i="1"/>
  <c r="L47" i="1"/>
  <c r="J48" i="1"/>
  <c r="L48" i="1"/>
  <c r="M48" i="1" s="1"/>
  <c r="J49" i="1"/>
  <c r="L49" i="1"/>
  <c r="J50" i="1"/>
  <c r="L50" i="1"/>
  <c r="J51" i="1"/>
  <c r="L51" i="1"/>
  <c r="J52" i="1"/>
  <c r="L52" i="1"/>
  <c r="M52" i="1" s="1"/>
  <c r="J53" i="1"/>
  <c r="L53" i="1"/>
  <c r="M53" i="1" s="1"/>
  <c r="J54" i="1"/>
  <c r="L54" i="1"/>
  <c r="M54" i="1" s="1"/>
  <c r="J55" i="1"/>
  <c r="L55" i="1"/>
  <c r="J56" i="1"/>
  <c r="L56" i="1"/>
  <c r="J57" i="1"/>
  <c r="L57" i="1"/>
  <c r="J58" i="1"/>
  <c r="L58" i="1"/>
  <c r="M58" i="1" s="1"/>
  <c r="J59" i="1"/>
  <c r="L59" i="1"/>
  <c r="M59" i="1" s="1"/>
  <c r="J60" i="1"/>
  <c r="L60" i="1"/>
  <c r="J61" i="1"/>
  <c r="L61" i="1"/>
  <c r="M61" i="1" s="1"/>
  <c r="J62" i="1"/>
  <c r="L62" i="1"/>
  <c r="M62" i="1" s="1"/>
  <c r="J63" i="1"/>
  <c r="L63" i="1"/>
  <c r="M63" i="1" s="1"/>
  <c r="J64" i="1"/>
  <c r="L64" i="1"/>
  <c r="J65" i="1"/>
  <c r="L65" i="1"/>
  <c r="J66" i="1"/>
  <c r="L66" i="1"/>
  <c r="M66" i="1" s="1"/>
  <c r="J67" i="1"/>
  <c r="L67" i="1"/>
  <c r="J68" i="1"/>
  <c r="L68" i="1"/>
  <c r="M68" i="1" s="1"/>
  <c r="J69" i="1"/>
  <c r="L69" i="1"/>
  <c r="J70" i="1"/>
  <c r="L70" i="1"/>
  <c r="J71" i="1"/>
  <c r="L71" i="1"/>
  <c r="J72" i="1"/>
  <c r="L72" i="1"/>
  <c r="J73" i="1"/>
  <c r="L73" i="1"/>
  <c r="J74" i="1"/>
  <c r="L74" i="1"/>
  <c r="J75" i="1"/>
  <c r="L75" i="1"/>
  <c r="J76" i="1"/>
  <c r="L76" i="1"/>
  <c r="J77" i="1"/>
  <c r="L77" i="1"/>
  <c r="J78" i="1"/>
  <c r="L78" i="1"/>
  <c r="J79" i="1"/>
  <c r="L79" i="1"/>
  <c r="M79" i="1" s="1"/>
  <c r="J80" i="1"/>
  <c r="L80" i="1"/>
  <c r="J81" i="1"/>
  <c r="L81" i="1"/>
  <c r="J82" i="1"/>
  <c r="L82" i="1"/>
  <c r="J83" i="1"/>
  <c r="L83" i="1"/>
  <c r="J84" i="1"/>
  <c r="L84" i="1"/>
  <c r="J85" i="1"/>
  <c r="L85" i="1"/>
  <c r="J86" i="1"/>
  <c r="L86" i="1"/>
  <c r="M86" i="1" s="1"/>
  <c r="J87" i="1"/>
  <c r="L87" i="1"/>
  <c r="J88" i="1"/>
  <c r="L88" i="1"/>
  <c r="M88" i="1" s="1"/>
  <c r="J89" i="1"/>
  <c r="L89" i="1"/>
  <c r="J90" i="1"/>
  <c r="L90" i="1"/>
  <c r="J91" i="1"/>
  <c r="L91" i="1"/>
  <c r="J92" i="1"/>
  <c r="L92" i="1"/>
  <c r="J93" i="1"/>
  <c r="L93" i="1"/>
  <c r="J94" i="1"/>
  <c r="L94" i="1"/>
  <c r="J95" i="1"/>
  <c r="L95" i="1"/>
  <c r="M95" i="1" s="1"/>
  <c r="J96" i="1"/>
  <c r="L96" i="1"/>
  <c r="J97" i="1"/>
  <c r="L97" i="1"/>
  <c r="J98" i="1"/>
  <c r="L98" i="1"/>
  <c r="J99" i="1"/>
  <c r="L99" i="1"/>
  <c r="M99" i="1" s="1"/>
  <c r="J100" i="1"/>
  <c r="L100" i="1"/>
  <c r="J101" i="1"/>
  <c r="L101" i="1"/>
  <c r="J102" i="1"/>
  <c r="L102" i="1"/>
  <c r="J103" i="1"/>
  <c r="L103" i="1"/>
  <c r="J104" i="1"/>
  <c r="L104" i="1"/>
  <c r="M104" i="1" s="1"/>
  <c r="J105" i="1"/>
  <c r="L105" i="1"/>
  <c r="J106" i="1"/>
  <c r="L106" i="1"/>
  <c r="J107" i="1"/>
  <c r="L107" i="1"/>
  <c r="M107" i="1" s="1"/>
  <c r="J108" i="1"/>
  <c r="L108" i="1"/>
  <c r="J109" i="1"/>
  <c r="L109" i="1"/>
  <c r="J110" i="1"/>
  <c r="L110" i="1"/>
  <c r="J111" i="1"/>
  <c r="L111" i="1"/>
  <c r="J112" i="1"/>
  <c r="L112" i="1"/>
  <c r="M112" i="1" s="1"/>
  <c r="J113" i="1"/>
  <c r="L113" i="1"/>
  <c r="M113" i="1" s="1"/>
  <c r="J114" i="1"/>
  <c r="L114" i="1"/>
  <c r="J115" i="1"/>
  <c r="L115" i="1"/>
  <c r="J116" i="1"/>
  <c r="L116" i="1"/>
  <c r="M116" i="1" s="1"/>
  <c r="J117" i="1"/>
  <c r="L117" i="1"/>
  <c r="J118" i="1"/>
  <c r="L118" i="1"/>
  <c r="J119" i="1"/>
  <c r="L119" i="1"/>
  <c r="J120" i="1"/>
  <c r="L120" i="1"/>
  <c r="J121" i="1"/>
  <c r="L121" i="1"/>
  <c r="J122" i="1"/>
  <c r="L122" i="1"/>
  <c r="J123" i="1"/>
  <c r="L123" i="1"/>
  <c r="J124" i="1"/>
  <c r="L124" i="1"/>
  <c r="M124" i="1" s="1"/>
  <c r="J125" i="1"/>
  <c r="L125" i="1"/>
  <c r="J126" i="1"/>
  <c r="L126" i="1"/>
  <c r="J127" i="1"/>
  <c r="L127" i="1"/>
  <c r="J128" i="1"/>
  <c r="L128" i="1"/>
  <c r="M128" i="1" s="1"/>
  <c r="J129" i="1"/>
  <c r="L129" i="1"/>
  <c r="M129" i="1" s="1"/>
  <c r="J130" i="1"/>
  <c r="L130" i="1"/>
  <c r="M130" i="1" s="1"/>
  <c r="J131" i="1"/>
  <c r="L131" i="1"/>
  <c r="J132" i="1"/>
  <c r="L132" i="1"/>
  <c r="M132" i="1" s="1"/>
  <c r="J133" i="1"/>
  <c r="L133" i="1"/>
  <c r="M133" i="1" s="1"/>
  <c r="J134" i="1"/>
  <c r="L134" i="1"/>
  <c r="J135" i="1"/>
  <c r="L135" i="1"/>
  <c r="M135" i="1" s="1"/>
  <c r="J136" i="1"/>
  <c r="L136" i="1"/>
  <c r="J137" i="1"/>
  <c r="L137" i="1"/>
  <c r="J138" i="1"/>
  <c r="L138" i="1"/>
  <c r="J139" i="1"/>
  <c r="L139" i="1"/>
  <c r="M139" i="1" s="1"/>
  <c r="J140" i="1"/>
  <c r="L140" i="1"/>
  <c r="J141" i="1"/>
  <c r="L141" i="1"/>
  <c r="M141" i="1" s="1"/>
  <c r="J142" i="1"/>
  <c r="L142" i="1"/>
  <c r="J143" i="1"/>
  <c r="L143" i="1"/>
  <c r="J144" i="1"/>
  <c r="L144" i="1"/>
  <c r="M144" i="1" s="1"/>
  <c r="J145" i="1"/>
  <c r="L145" i="1"/>
  <c r="M145" i="1" s="1"/>
  <c r="J146" i="1"/>
  <c r="L146" i="1"/>
  <c r="J147" i="1"/>
  <c r="L147" i="1"/>
  <c r="J148" i="1"/>
  <c r="L148" i="1"/>
  <c r="M148" i="1" s="1"/>
  <c r="J149" i="1"/>
  <c r="L149" i="1"/>
  <c r="J150" i="1"/>
  <c r="L150" i="1"/>
  <c r="H48" i="2"/>
  <c r="G48" i="2"/>
  <c r="F48" i="2"/>
  <c r="E48" i="2"/>
  <c r="D48" i="2"/>
  <c r="C48" i="2"/>
  <c r="B48" i="2"/>
  <c r="I48" i="2" s="1"/>
  <c r="C27" i="2"/>
  <c r="D27" i="2"/>
  <c r="E27" i="2"/>
  <c r="F27" i="2"/>
  <c r="G27" i="2"/>
  <c r="H27" i="2"/>
  <c r="I27" i="2"/>
  <c r="B27" i="2"/>
  <c r="J27" i="2" s="1"/>
  <c r="M151" i="1" l="1"/>
</calcChain>
</file>

<file path=xl/sharedStrings.xml><?xml version="1.0" encoding="utf-8"?>
<sst xmlns="http://schemas.openxmlformats.org/spreadsheetml/2006/main" count="1041" uniqueCount="466">
  <si>
    <t>price</t>
  </si>
  <si>
    <t>description</t>
  </si>
  <si>
    <t>location</t>
  </si>
  <si>
    <t>type</t>
  </si>
  <si>
    <t>Size</t>
  </si>
  <si>
    <t># bedrooms</t>
  </si>
  <si>
    <t>bathrooms</t>
  </si>
  <si>
    <t>available_from</t>
  </si>
  <si>
    <t>payment_method</t>
  </si>
  <si>
    <t>0s in payment</t>
  </si>
  <si>
    <t>down_payment</t>
  </si>
  <si>
    <t>Down Payment</t>
  </si>
  <si>
    <t>%</t>
  </si>
  <si>
    <t>OWN A CHALET IN EL GOUNA WITH A PRIME LOCATION, FULL SEA VIEW, AND LUXURIOUS FINISHES.
DEVOLOBER : ORASCOM
UNITTYPE l CHALET
DETAILS :
- 1 BEDROOM ( MASTER )
- BATHROOM
- FULLY FINISHED with ACs and Kitchen Cabinets+with panoramic lagoon+greenery
- PRIME LOCATION
-  DIRECT ON LAGOON
- BAHARY
- BIG RECEPTION
-------------------------------------------------
FOR MORE INFO CALL :
01202738533
----------------------------------------
Gouna is a high-end, luxurious all-year-round residential destination, and an edge-cutting summer stay that was created by Orascom Development Egypt.
Experience tranquil life at North Bay, El Gouna, which offers iconic homes that skillfully combine dynamic architectural design with the natural surroundings. North Bay raises the bar for luxury living to a whole new level.
It is a visual masterpiece of refinement that is creating a new language for the Northern part of the town while honoring aspects of El Gouna's architectural past, utilizing the beauties of nature, and fusing contemporary aesthetics that appeal to the heart.
North Bay is a magnificent new landmark and innovative development that inhabitants will be delighted to call home. It is anchored by a picturesque lagoon water body of epic proportions that conveniently connects to the open sea.
Imagine living near the ocean in a welcoming, like-minded neighborhood where everyone loves the water and the distinctive way of life that comes with it. With direct boat access through the nearby complexes, residents may just relax while viewing the lagoon that connects to the sea.
An abundance of thoughtfully chosen facilities redefines life. The best of nature's blessings are essentially captured in open-to-sea lagoon-side living, which provides a calm, daring, and soul-nourishing way of life that makes a positive impression on individuals who are lucky enough to call North Bay home.</t>
  </si>
  <si>
    <t>Swan Lake Gouna, Al Gouna, Hurghada, Red Sea</t>
  </si>
  <si>
    <t>Chalet</t>
  </si>
  <si>
    <t xml:space="preserve"> 68 sqm</t>
  </si>
  <si>
    <t>1</t>
  </si>
  <si>
    <t>Cash</t>
  </si>
  <si>
    <t>1,200,000 EGP</t>
  </si>
  <si>
    <t>For sale, a villa with immediate delivery in Carmel Compound - SODIC - New Zayed
220 mآ² building area and 400 mآ² land
4 bedrooms, 4 bathrooms, and a maid's room with a bathroom
Overlooking green spaces
Total price: 25,000,000
Down payment: 21,130,000
Remaining: 3,870,000
Until March 2030
Standalone villa
Price includes maintenance and a clubhouse
Location:
â€¢ Prime location in the heart of Sheikh Zayed
â€¢ Next to SODIC West Compound
â€¢ Close to Juhayna Square and Sphinx Airport
â€¢ Steps from the 26th of July Axis
Services and amenities:
â€¢ Vast green spaces
â€¢ Artificial lakes and water features
â€¢ Jogging and cycling tracks
â€¢ Children's entertainment areas
â€¢ Shopping mall
â€¢ Restaurants and cafes
â€¢ International brands
â€¢ Sports fields
â€¢ Clubhouse
â€¢ 24-hour security and surveillance
Contact: Hussein Yari 01154554158
SODIC is one of the most prominent real estate developers in Egypt and the Middle East. Its most notable projects include:
آ· Beverly Hills City in Sheikh Zayed.
آ· October Plaza 6th of October.
آ· SODIC East Heliopolis Compound.
آ· SODIC East Shorouk Compound.
آ· Sky Condos Project.
آ· June Village North Coast.</t>
  </si>
  <si>
    <t>Karmell, New Zayed City, Sheikh Zayed City, Giza</t>
  </si>
  <si>
    <t>Villa</t>
  </si>
  <si>
    <t>220 sqm</t>
  </si>
  <si>
    <t>4</t>
  </si>
  <si>
    <t>2,100,000 EGP</t>
  </si>
  <si>
    <t>With a down payment of EGP 1,513,000, a fully finished chalet with air conditioning and a kitchen in Azha, Ray El Hekma.
Area: 118 m2
Layout: 2 bedrooms, 2 bathrooms
With a down payment of EGP 1,513,000 and the remaining amount to be paid in installments over the longest repayment period.
You will receive the property fully finished, including air conditioning and a kitchen.
Location:
Azha, North Coast, Ras El Hekma, kilometer 214</t>
  </si>
  <si>
    <t>Azha North, Ras Al Hekma, North Coast</t>
  </si>
  <si>
    <t>118 sqm</t>
  </si>
  <si>
    <t>2</t>
  </si>
  <si>
    <t>1,513,000 EGP</t>
  </si>
  <si>
    <t>Own an apartment in New Cairo with a minimal down payment and installments over 12 years.
In Taj City Compound.
The apartment offers a very distinctive view.
The best layout available.
Total area: 166 m.
For more details, contact us at: 01033457757.
Divided into: 3 bedrooms (master bedroom + dressing room + bathroom).
Guest bathroom - kitchen - 2-piece reception.
The compound is fully equipped with the best services.
For more details:
01033457757</t>
  </si>
  <si>
    <t>Taj City, 5th Settlement Compounds, The 5th Settlement, New Cairo City, Cairo</t>
  </si>
  <si>
    <t>Apartment</t>
  </si>
  <si>
    <t>166 sqm</t>
  </si>
  <si>
    <t>3</t>
  </si>
  <si>
    <t>Installments</t>
  </si>
  <si>
    <t>1,260,000 EGP</t>
  </si>
  <si>
    <t>Project: Granville
Location: Fifth Settlement, New Cairo
Unit Type: Standalone
Finishing: Fully Finished
Area: 400 m
Unit Details:
- 7 Bedrooms
- 7 Bathrooms
In the heart of the capital and 5 minutes from the American University
Payment Method:
Total Unit Price: 45,250,000 EGP
Down Payment: 2,262,500 EGP
Installments over 10 years
Delivery Date : 6 months
==============
Founders Real Estate Development is a leading company in the Egyptian market. Launched in 2019 as a subsidiary of Hyde Park Developments, Founders specializes in delivering high-end residential and commercial projects with elegant European designs. The company focuses on selecting prime locations and offering premium-quality units with competitive pricing and flexible payment plans.
In addition to Granville, Founders has developed other successful projects such as Gardenia Compound in Nasr City and Wesal Compound in El Shorouk City. The company is committed to meeting client needs by delivering luxurious and globally-inspired real estate solutions.
===========
Villas for sale in Granville
4 bedroom Properties for sale in Granville
Townhouses for sale in Granville
5 bedroom Properties for sale in Granville
6 bedroom Properties for sale in Granville
3 bedroom Properties for sale in Granville</t>
  </si>
  <si>
    <t>Granville, New Capital City, Cairo</t>
  </si>
  <si>
    <t>400 sqm</t>
  </si>
  <si>
    <t>7</t>
  </si>
  <si>
    <t>2,262,500 EGP</t>
  </si>
  <si>
    <t>Chalet with Marina and Lake View in The Island â€“ Marina 5 â€“ North Coast
Village: The Island â€“ Marina 5
Built-in Area: 63 m
Garden Area: 52 m
Internal Layout: Bedroom
Bathroom
Reception
Kitchen
Private Garden
Delivery Fully Finished
Direct Marina and Lake View
Down Payment: EGP 988,000, Installments over 10 Years
Total Price: EGP 19,760,000</t>
  </si>
  <si>
    <t>Marina 5, Marina, Al Alamein, North Coast</t>
  </si>
  <si>
    <t>126 sqm</t>
  </si>
  <si>
    <t>988,000 EGP</t>
  </si>
  <si>
    <t>Penthouse 4BR for sale with Installments over 10 years in Icon Residence - Fifth Settlement - New Cairo.
Area: 262 mآ² + roof
Consists of (4 bedrooms + 5 bathrooms + reception + kitchen + terrace)
Private location
Open view
Price: 9,000,000
Payment plan : Installments over 10 years
For more details, contact us now
Location of The Icon Residence
The Icon Residence Compound enjoys a premium location in 5th Settlement, New Cairo, within very close proximity to 90th Road. Thanks to this unique location, The Icon Residence is:
Only 12 minutes away from New Cairoâ€™s Golden Square
Just 12 minutes away from American University in Cairoâ€™s (AUC) New Cairo Campus
30 minutes away from New Administrative Capital City
30 minutes away from Nasr City
35 minutes away from Mostakbal City
36 minutes away from Cairo International Airport
60 minutes away from 6 October City</t>
  </si>
  <si>
    <t>The Icon Residence, 5th Settlement Compounds, The 5th Settlement, New Cairo City, Cairo</t>
  </si>
  <si>
    <t>Penthouse</t>
  </si>
  <si>
    <t>262 sqm</t>
  </si>
  <si>
    <t>Stand-alone villa in NYOUM Compound, October
--------------
Building area: 370 square meters
Garden area: 350 square meters
--------------
Location:
- 5 minutes from Dahshur Link
- 5 minutes from Beverly Hills
- 10 minutes from Mall of Arabia
- 10 minutes from Juhayna Square
- 10 minutes from Arkan Plaza
- 20 minutes from Alexandria Desert Road
- 20 minutes from Mohandessin
--------------
Services:
- 24-hour security
- Electronic gates
- Surveillance cameras
- Swimming pools for all ages
- Water features
- Green spaces
- Fully secured garages
- Kids area
- Restaurants
- BBQ areas
- Schools
- Bike tracks
- Tracks For walking
------------------------------------------
Required:
2,770,000 EGP, with the remainder to be paid in installments with the company over 8 years.
For contact and viewing:
01100531002
- Calls or WhatsApp
- ...</t>
  </si>
  <si>
    <t>Nyoum October, Northern Expansions, 6 October City, Giza</t>
  </si>
  <si>
    <t>370 sqm</t>
  </si>
  <si>
    <t>5</t>
  </si>
  <si>
    <t>**La Vista Ras El Hikma seaview twinhouse - Ready for Delivery**
* **Area**: 220 sqm
* **3 Bedrooms**
* **3 Bathrooms**
* **Private Garden**
**Down Payment**: 13.2 million EGP, with the remaining amount payable in installments over 4 years.
### **Location of La Vista Ras El Hikma:**
* On the new Fouka Road, which connects Cairo to the North Coast.
* Close to **Sidi Abdel Rahman**, one of the most famous areas there.
* Just a short distance from **New Alamein** and Wadi El-Natrun Road.
* Near **Sidi Hanish**, La Vista Bay, and **Marsa Matrouh**.
* Not far from **Alexandria** and **New Alamein**.
* Surrounding the village are well-known resorts like:
* La Vista Bay East
* Marina Ras El Hikma
* Marassi
* Caesar Sodic
---
### **Services and Amenities - La Vista Ras El Hikma:**
* **Malls &amp; Shops** â€“ Commercial areas serving residents.
* **Restaurants &amp; Cafes** â€“ Dining and drinks with a beautiful sea view.
* **Green Spaces** â€“ Lush greenery and artificial lakes.
* **Swimming Pools** â€“ For adults and children.
* **Sports Fields** â€“ Football, basketball, and beach sports.
* **Car Parking** â€“ Organized to maintain peace and order.
* **Gym &amp; Spa** â€“ Fitness and relaxation facilities.
* **24/7 Security** â€“ Continuous surveillance.
* **CCTV Cameras** â€“ For security and privacy.
* **Kids Area** â€“ Various games and activities for children.
* **5-Star Hotel** â€“ Comfort and luxury.
* **Amusement &amp; Water Parks** â€“ Fun for both adults and kids.</t>
  </si>
  <si>
    <t>La vista Ras El Hikma, Ras Al Hekma, North Coast</t>
  </si>
  <si>
    <t>Twin House</t>
  </si>
  <si>
    <t>A 195-square-meter duplex + a 42-square-meter roof, ready for immediate delivery, opposite the American University in New Cairo, in Azad Compound, on 90th Street.
The duplex, measuring 195 square meters + a 42-square-meter roof, has a very distinctive layout, consisting of:
3 bedrooms + 2 bathrooms + a large reception room - a terrace - an American kitchen.
The compound is fully serviced and already occupied.
Location in the Fifth Settlement, in the best location:
In front of the American University; next to the SODIC Eastown Compound. Located off 90th Street, it's close to the most important malls in the Fifth Settlement, such as Point 90 and the Spot Mall, and minutes away from Cairo Festival City Mall.
Some of the compound's amenities include:
- Security and guards
- Surveillance cameras
- Shopping mall
- Popular cafes and restaurants
- Clubhouse
- Gym, spa, and jacuzzi
- Green spaces
- Gardens and artificial lakes
- Central Wi-Fi
- Kids area
- Jogging track
- Cycling paths
- Swimming pools
- Medical center
For more details, call 01111556367</t>
  </si>
  <si>
    <t>Azad, 5th Settlement Compounds, The 5th Settlement, New Cairo City, Cairo</t>
  </si>
  <si>
    <t>Duplex</t>
  </si>
  <si>
    <t>195 sqm</t>
  </si>
  <si>
    <t>2,230,000 EGP</t>
  </si>
  <si>
    <t>With Down payment 1 million only Fully Finished Villa direct on The Nile River at Jirian - Mountain View in El Sheikh Zayed by Mountain View......
Villa 220 sqm- Huge Garden
3 Bedrooms- 4 Bathrooms- Huge Garden
*Jirian Mountain View Location in Sheikh Zayed
-The Jirian El Sheikh Zayed location was ideally chosen, facing the Middle Ring Road. It is situated on 26th of July Corridor, close to many of the unique facilities of 6 of October City and Zayed.
-Jirian El Sheikh Zayed Compound is close to other luxurious developments in the area, such as Palm Hills October. Furthermore, it is a short drive from:
-Sphinx International Airport
-Grand Egyptian Museum
This smartly picked location offers the Jirian Mountain View Compound residents a convenient, seamless living experience. They will be able to easily commute to anywhere they want to go.
Down payment 5% only and the rest over years.....
For more details please contact us.....</t>
  </si>
  <si>
    <t>Jirian, New Zayed City, Sheikh Zayed City, Giza</t>
  </si>
  <si>
    <t>iVilla</t>
  </si>
  <si>
    <t>â€¢ Chalet In || Gouna ||:
- Layout: 1 Bedroom, 2 Bathroom
- Built-Up Area (BUA): 80m
For More Information: 01202737166
=======================================
Nearby Places &amp; Travel Time from El Gouna
Hurghada: 30 mins â€“ Shopping, airport, nightlife
Makadi Bay &amp; Sahl Hasheesh: 1 hr â€“ Resorts &amp; diving
Soma Bay: 1.5 hrs â€“ Beaches, golf, water sports
Desert Monasteries: A few hours â€“ Historic Christian sites
Bedouin Villages: A few hours â€“ Desert safari &amp; culture
For More Information: 01202737166
=======================================
Facilities in El Gouna
Accommodation: Resorts, hotels, rentals
Dining &amp; Entertainment: 100+ restaurants, cafes, nightlife
Sports: Golf, diving, kitesurfing, land activities
Wellness: Spas, yoga, fitness clubs
Marinas: Abu Tig &amp; New Marina with yacht services
Shopping: Boutiques, fashion, souvenirs
Medical: Hospitals, clinics, pharmacies
Transportation: Tuk-tuks, shuttles, bikes
Education &amp; Business: International schools, university, co-working
Culture: Art galleries, music festivals, events
Nightlife: Beach clubs, bars, live music
For More Information: 01202737166
=======================================
#GOUNA
#SOMA_BAY
#MAKADI
#PROPERTIES_FOR_SALE_IN_KAMARAN
#2_BEDROOM_PROPERTIES_FOR_SALE_IN_KAMARAN
#1_BEDROOM_PROPERTIES_FOR_SALE_IN_KAMARAN
#APARTMENTS_FOR_SALE_IN_KAMARAN
#FURNISHED_PROPERTIES_FOR_SALE_IN_KAMARAN
#PROPERTIES_FOR_SALE_IN_MANGROOVY
#2_BEDROOM_PROPERTIES_FOR_SALE_IN_MANGROOVY
#FURNISHED_PROPERTIES_FOR_SALE_IN_MANGROOVY
#VILLAS_FOR_SALE_IN_MANGROOVY
#PROPERTIES_FOR_SALE_IN_SWAN_LAKE_GOUNA
#CHALETS_FOR_SALE_IN_KAMARAN
#2_BEDROOM_CHALETS_FOR_SALE_IN_KAMARAN
#1_BEDROOM_CHALETS_FOR_SALE_IN_KAMARAN
#FURNISHED_CHALETS_FOR_SALE_IN_KAMARAN
#FURNISHED_2_BEDROOM_CHALETS_FOR_SALE_IN_KAMARAN
#CHALETS_FOR_SALE_IN_MANGROOVY
#2_BEDROOM_CHALETS_FOR_SALE_IN_MANGROOVY
#1_BEDROOM_CHALETS_FOR_SALE_IN_MANGROOVY
#CHALETS_FOR_SALE_IN_SWAN_LAKE_GOUNA
#FURNISHED_CHALETS_FOR_SALE_IN_MANGROOVY</t>
  </si>
  <si>
    <t>Mangroovy Residence, Al Gouna, Hurghada, Red Sea</t>
  </si>
  <si>
    <t xml:space="preserve"> 75 sqm</t>
  </si>
  <si>
    <t>Fully finished chalet with air conditioning for sale at Silver Sands, North Coast
Double-sided chalet with direct sea view, first row, prime location
Prime location in Sidi Heneish, at kilometer 246
80% of the chalets have a sea view
-------
Chalet Details
Hotel-style finishing with air conditioning
Area: 130 square meters
2 master bedrooms with private bathrooms
Private dressing room
Bedroom
Bathroom
Kitchen
Down payment: 800,000, the rest in installments over 8 years
For inquiries, call me at 01121414098
Village Location:
Near Marassi
Minutes from Hacienda Heneish
Minutes from Marsa Bagoush
Minutes from Silver Sands
Minutes from Almaza Bay
Services inside The Compound:
24-hour security and guarding
Restaurants and cafes
Full-service mall
Strategic location
Integrated entertainment services
Private paved beaches
Close to vital areas
Full-service gym
Green spaces and lagoon</t>
  </si>
  <si>
    <t>Almaza Bay, Qesm Marsa Matrouh, North Coast</t>
  </si>
  <si>
    <t>140 sqm</t>
  </si>
  <si>
    <t>900,000 EGP</t>
  </si>
  <si>
    <t>Luxury Chalet 3 Bedroom With Full Sea View In Prime Location Early Delivery In June By Sodic Over 9 Years Installments
Discover modern living at its finest with this beautifully finished Chalet in June by SODIC. This elegant home offers a serene Lagoon View, combining luxury and tranquility in one of the most sought-after communities.
Unit Details :
Built Up Area : 160 SQM
Number Of Bedrooms : 3
Number Of Bathrooms : 3
Fully Finished + ACs
Payment Plan : Over 8 Years Installments
About June:
June Resort is a premier destination that redefines luxury and relaxation. The project was developed by the real estate giant, Sodic, across a massive area of over 280 acres of land in the North Coast.
June Sodic North Coast is not just a place for relaxation or enjoying the best, itâ€™s a project filled with endless facilities, stunning views, a premium location that is near many resorts in North Coast, and upscale properties for sale that cater to vacationers needs and budgets.
Location:
June is exactly located on the 193rd km of Alexandria - Marsa Matrouh Road. It's near many key destinations in the North Coast.
It's only 5 minutes away from Caesar.
The June Sodic is a mere 10 minutes away from Dabaa Road.
June is 30 minutes away from Sidi Abdel Rahman
The resort is 45 minutes away from Alamein Road.</t>
  </si>
  <si>
    <t>Caesar, Qesm Marsa Matrouh, North Coast</t>
  </si>
  <si>
    <t>160 sqm</t>
  </si>
  <si>
    <t>Looking for elegant apartment with luxurious finishing? This modern unit offers a bright and airy living space, premium-quality interiors, and a prime location just minutes from the sea. The residence features world-class amenities, including a swimming pool, a fully equipped gym, and lush green spaces. Whether you're seeking a permanent home or a profitable investment, this is the perfect opportunity. Contact us today to book your viewing!
Apartment Size: 74mآ²
Ultra Super Lux Hotel Finishing
Delivery: By the end of 2026
Payment Plan:
20% down payment with installments over 3 years
30% down payment with installments over 4 years
40% down payment with installments over 5 years
50% down payment with installments over 5 years
25% discount for cash payments
Prime Location in the Heart of Hurghada:
7-minute walk to the beaches
10 minutes from Hurghada International Airport
5 minutes to Downtown &amp; Sheraton Street
3 minutes to Kawther area &amp; the Bank District
Contact us now for more details!
01210010036</t>
  </si>
  <si>
    <t>El Hadaba District, Hurghada, Red Sea</t>
  </si>
  <si>
    <t xml:space="preserve"> 74 sqm</t>
  </si>
  <si>
    <t>1,002,330 EGP</t>
  </si>
  <si>
    <t>Unit Type: Duplex
2 Bedrooms
Built Up Area: 128 sqm
Unit Price: 18,000,000
Down Payment: 15,274,000
EBP â€“ Your Gouna-Based Real Estate Partner
Based in El Gouna, EBP offers complete property services: sales, rentals, finishing, furnishing, and free professional photography.
El Gouna is just 25 minutes from Hurghada Airport â€” a fully integrated town with schools, university, hospitals, and marinas.
Live, invest, and relax in style â€” EBP makes it easy.
APT Ready To Move Fully Furnished In Shedwan Gouna</t>
  </si>
  <si>
    <t>128 sqm</t>
  </si>
  <si>
    <t>5,000,000 EGP</t>
  </si>
  <si>
    <t>Taj City Compound - New Cairo
Fifth Settlement
On Suez Road and in front of Cairo Airport
For Sale at the Lowest Price
Studio for Sale at Less than the Company Price
Installments over a Year
Area: 64 m
Bedroom
Bathroom
Prime Location
Cash Required: EGP 3,150,000
Remaining EGP 215,880 in installments over a Year
Total Price Includes Garage
_______________________________________________________
For more information, please call or send a WhatsApp message.
_______________________________________________________
Services Provided by inST8
1. Primary Market Sales
â€¢ Assisting clients in purchasing new properties directly from developers (residential, commercial, and administrative units).
3. Rental Services
â€¢ Facilitating the rental of residences and vacation homes.
4. Property Portfolio Management
â€¢ Providing advice and strategies tailored to optimize clients' real estate investments.
â€¢ Managing property portfolios to maximize returns and ensure smooth operations.
5. Consulting Services
â€¢ Providing investment advice to guide clients toward the best opportunities.
â€¢ Assisting investors in growing wealth through smart real estate decisions.
6. Property Listing and Marketing
â€¢ Leveraging advanced technology tools and innovative marketing strategies to maximize exposure for listed properties.
â€¢ Providing effective lead generation to ensure faster sales and rentals.</t>
  </si>
  <si>
    <t xml:space="preserve"> 64 sqm</t>
  </si>
  <si>
    <t>Developer: Orascom
Project: Makadi Heights
Unit Details: Townhouse
Built-Up Area: 135 sqm
Private Garden
Bedrooms: 3
Bathrooms: 4
Ready for Immediate Delivery
===========
For More Information:
Mahmoud Gamal
Phone: 01200024097
=========
About Makadi Heights
Makadi Heights is a unique, fully integrated resort located in Makadi Bay â€“ Hurghada. Developed by Orascom Development, the project has already welcomed its first residents and visitors since 2022.
Spanning a massive 1,000 acres, only 12% of the land is allocated for construction, while the remaining 88% is dedicated to lush landscapes, water features, lakes, and flowing streams.
Makadi Heights boasts a land bank of 3.7 million square meters, with over 1 million sqm planned for development. Itâ€™s strategically located in the heart of Makadi Bay on the Red Sea.
Sitting 70 meters above sea level, Makadi Heights promises breathtaking views. Its elevated location offers expansive panoramic vistas of the Red Sea and coastline in every direction.
Conveniently accessible from Hurghada International Airport, and located just down the coast from El Gouna, Makadi Heights is a stunning masterpiece designed to fully meet the needs of its growing community. Its unique approach delivers everything you needâ€”with minimal effort.</t>
  </si>
  <si>
    <t>Makadi Orascom Resort, Makadi, Hurghada, Red Sea</t>
  </si>
  <si>
    <t>150 sqm</t>
  </si>
  <si>
    <t>11,724,000 EGP</t>
  </si>
  <si>
    <t>Chalet for sale in Hacienda Waters, North Coast
2 bedrooms
1 bathroom
Kitchen
Reception
Fully finished
Sea view
Price: 14,127,000
2.5% down payment
12-year installments
Smart Move is a full-service, fast-growing real estate marketing/brokerage company in Egypt. Established in 2011, Smart Move is headquartered in Cairo. With our professional and committed team, we offer exceptional real estate services in Egypt, providing you, whether a buyer, seller, individual, or organization, with exceptional and personalized service tailored to your needs and requirements . We deeply understand the Egyptian real estate market and the needs of our clients.   We have a huge network of the most trusted developers in Egypt and franchise different networks in New Cairo, 6th of October, North Coast and Ain Sokhna.</t>
  </si>
  <si>
    <t>Hacienda Waters, Qesm Ad Dabaah, North Coast</t>
  </si>
  <si>
    <t xml:space="preserve"> 72 sqm</t>
  </si>
  <si>
    <t>353,175 EGP</t>
  </si>
  <si>
    <t>CAESAR BY OGAMI
_________________________________________________________________________________________________
Own Your Finished Chalet With Sea View Over 8 Years Installments
_________________________________________________________________________________________________
UNIE DETAILS:
BUA 150 SQM
2 BEDROOMS
3 BATHROOMS
SEA VIEW
FULLY FINISHED
SEAVIEW
LAGOONVIEW
BEACHES
WATER SPORTS
PRIME LOCATION
_________________________________________________________________________________________________
FOR MORE INFORMATION: 01225568934
FOR MORE INFO: 01225568934
_________________________________________________________________________________________________
Caesar Sodic North Coast is an elite coastal project, nestled in Ras El Hekma with 1km of beachfront. It is an ultimate vacation destination for this mesmerizing summer, developed with simplicity and luxury in mind.
The resort evokes carefree seashore summers from the distant past. Nearly all of the residents have unhindered views of the Mediterranean because the beach houses of Caesar Ras El Hekma are constructed on terraces.
Sodic developed Caesar North Coast Resort over 192 acres of land in Ras El Hekma. The project is ideally situated on the 202nd km of International Coastal Road, also known as Alexandria - Marsa Matrouh Road.
Caesar Sodic North Coast is a perfect seaside haven, where you may revel in a paradisiacal hideaway with a special blend of simplicity, isolation, and peace.</t>
  </si>
  <si>
    <t>100,000 EGP</t>
  </si>
  <si>
    <t>Area : New Heliopolis
Project : Talala
Type: Apartment
Number of Bedrooms: 3
Built-up Area: 125 SQM
Finishing Status: Fully Finished
Down payment : 5%
Installments 10 years
Delivery date: 2029
About Talala
Talala New Heliopolis is one of the luxurious developments by Madinet Masr in the east of Cairo. The compound offers a wide range of unmatched amenities, granting its homeowners a contemporary, convenient, and elegant living experience.
The Talala Madinet Masr Compound's prime location ensures its residentsâ€™ seamless connectivity and peace of mind. It is ideally situated in New Heliopolis, in proximity to many of east of Cairoâ€™s prominent areas, such as New Cairo and Mostakbal City.</t>
  </si>
  <si>
    <t>Talala, New Heliopolis Compounds, New Heliopolis, Cairo</t>
  </si>
  <si>
    <t>125 sqm</t>
  </si>
  <si>
    <t>450,000 EGP</t>
  </si>
  <si>
    <t>apartment for Sale â€“ Club Hills Residence by HDP
BUA: 170 mآ²
3 Bedrooms
3 Bathrooms
every quater pay :90,000
Semi-Finished
Delivery Date: August 31, 2028
Located within Club Hills Residence by Housing and Development Properties (HDP), this apartment offers modern living with a functional layout and a private terrace for extra comfort.</t>
  </si>
  <si>
    <t>Palm Parks   Palm Hills, South Dahshur Link, 6 October City, Giza</t>
  </si>
  <si>
    <t>170 sqm</t>
  </si>
  <si>
    <t>Solare â€“ Ras El Hekma: A world-class coastal experience on the most beautiful beaches of the North Coast.
Live your summer dreamily at Solare by Misr Italia, located at kilometer 199 in Ras El Hekma, one of the purest and rarest spots on the North Coast, with turquoise waters and enchanting white sand.
Area: 100 m
- Two bedrooms (one master)
- Bathroom
- Reception
- Terrace overlooking the sea and Crystal Lagoon
Down payment: 5% starting from EGP 550,000
Remaining balance: Installments up to 12 years interest-free
The project offers a unique experience inspired by the spirit of Italian cities, with delightful European designs, carefully thought-out green spaces, and a lagoon running the length of the compound. Units include:
Chalets, townhouses, villas, and seaside cabins, with luxurious finishes and a variety of spaces to suit every family's needs.
Integrated Services:
Lagoons â€“ Private Beach â€“ 5 International Hotels â€“ Coastal Promenade â€“ Beachfront Cafes and Restaurants â€“ Water Activities â€“ Swimming Pools â€“ Gym â€“ Kids Area â€“ Hotel Services.
Very Flexible Payment Plans: Down Payment Starting at 5% and Installments Over 8 Years.
Solari is a luxurious summer lifestyle destination that combines beauty, tranquility, and high-level service.</t>
  </si>
  <si>
    <t>Solare, Ras Al Hekma, North Coast</t>
  </si>
  <si>
    <t>100 sqm</t>
  </si>
  <si>
    <t>705,000 EGP</t>
  </si>
  <si>
    <t>Chalet 3BR Lagoon View â€“ The Med Ras El Hekma by People &amp; Places
BUA: 147 mآ²
Bedrooms: 3
Bathrooms: 3
Finishing: Fully Finished
View: Lagoon View
Payment Plan: Up to 10 Years Installments
Discover the elegance of coastal living in The Med Ras El Hekma by People &amp; Places. This 3-bedroom chalet spans 147 mآ² and is designed with modern layouts, spacious interiors, and seamless flow between living areas. With its stunning lagoon view, the unit offers a serene and refreshing lifestyle, perfect for family vacations or year-round living.
The Med is a fully integrated community featuring swimmable lagoons, vast greenery, cycling &amp; walking promenades, direct beach access, and exclusive clubhouses. The project also includes dining venues, retail promenades, and leisure facilities, ensuring a vibrant community lifestyle.
Developed by People &amp; Places, this project guarantees exceptional quality, contemporary finishing, and an attractive long-term investment opportunity. With a flexible payment plan of up to 10 years, this chalet is not only a dream home but also a smart investment in Ras El Hekmaâ€™s most prestigious address.</t>
  </si>
  <si>
    <t>The Med, Ras Al Hekma, North Coast</t>
  </si>
  <si>
    <t>147 sqm</t>
  </si>
  <si>
    <t>nnouncing Oro Beach Project â€“ Hurghada, Al Ahyaa Area
Discover a new level of luxury living at Oro Beach, a premium residential and touristic project located directly on the Red Sea in the sought-after Al Ahyaa area of Hurghada.
Project Highlights:
Prime beachfront location in Al Ahyaa, Hurghada
Private beach with stunning sea views
Swimming pools for adults and children
Modern unit designs with sea-facing balconies
24/7 security and full hotel-style services
Flexible payment plans and competitive prices are available. Own your dream home by the sea today.
For inquiries or reservations:
Contact us at [01020742072]</t>
  </si>
  <si>
    <t>Al Ahyaa District, Hurghada, Red Sea</t>
  </si>
  <si>
    <t xml:space="preserve"> 78 sqm</t>
  </si>
  <si>
    <t>538,200 EGP</t>
  </si>
  <si>
    <t>Resale ground duplex in Ivoire Compound
bua 240 sqm
garden 86 sqm
core and shell
Delivery 2027
4 bedrooms
4 bathrooms
Unit price :
Total 11,530,000
D. p 4,000,000
all the phase is duplexes only , only 2 units in the building
Company profile :
We are RE/MAX EVEREST, a Franchise of RE/MAX, the World's No. 1 Real Estate Brokerage Brand.
With more than 120,000 Agents in 8,400+ offices in 115 countries, we are presently the fastest growing real estate network in Egypt and the Middle East.</t>
  </si>
  <si>
    <t>Ivoire, Sheikh Zayed City, Giza</t>
  </si>
  <si>
    <t>240 sqm</t>
  </si>
  <si>
    <t>4,000,000 EGP</t>
  </si>
  <si>
    <t>Own a stunning one-story Twinhouse in Olive Oasis, perfectly positioned directly on the lagoon for an unmatched waterfront lifestyle.
With a BUA of 187 sqm, this home is designed for comfort, privacy, and elegance.
Compound Features:
- Crystal lagoons &amp; private sandy beach
- Swimming pools &amp; ladies-only pool
- Clubhouse, gym, spa, and wellness center
- Green landscapes &amp; botanical gardens
- Cycling &amp; jogging tracks
- Restaurants, cafes, and retail promenade
- Strategic location on the North Coast
A rare opportunity to own a lagoon-front Twinhouse in one of the North Coastâ€™s most prestigious communities.</t>
  </si>
  <si>
    <t>187 sqm</t>
  </si>
  <si>
    <t>1,400,000 EGP</t>
  </si>
  <si>
    <t>Prime Studio for Sale in One of the Most Prestigious Phases of Madinaty â€“ B8
Area: 45 sqm | Sea View | Main Street View | Old Booking | Commercial Offer
A rare investment opportunity â€“ Old booking with a commercial offer that is 3 million EGP less than the companyâ€™s current price.
Location: Madinaty â€“ Phase B8
Area: 45 sqm
Orientation: North-facing (Sea Breeze)
View: Open main street view (not park view)
Unit Details:
1 Bedroom
1 Bathroom
Reception area
Terrace
Payment Plan:
Down payment required now: 900,000 EGP
Remaining balance on 10-year installment plan
Monthly installment: 15,000 EGP
Annual installment: 155,000 EGP
Total contract value is one of the best in the market with flexible payment terms
Delivery within 2 years
Unit Highlights:
North-facing (sea breeze) for natural ventilation and lighting
Direct view of an open main street (not facing a park)
Early booking with significant price advantage
Long-term installment plan available (up to 10 years)
For more information and inquiries:
Adham Amr
Mobile: +20 112 555 5249
EXPERTS Real Estate Marketing
Office No. S10 â€“ East Business Hub â€“ Madinaty â€“ New Cairo
We provide a wide range of residential, commercial, and administrative units across Madinaty and New Cairo.</t>
  </si>
  <si>
    <t>Madinaty, Cairo</t>
  </si>
  <si>
    <t xml:space="preserve"> 45 sqm</t>
  </si>
  <si>
    <t>Apartment for sale with facilities in Bloomfields - Mostakbal City
BUA : 153 sqm
Fully finished
2 bedrooms -2 bathrooms
Sale price : 9,085,000 EGP
Down payment : 450,406EGP
Rest over 5  years
Delivery Date : 2 Years
====================
Bloomfield Mostakbal City services:
Providing a lot of quiet areas surrounded by green spaces and scattered gardens, so that residents can spend an enjoyable time away from the outside noise.
Providing a spa and gym that contains all the sports equipment that customers need.
The presence of a track dedicated to walking and riding the calf.
The presence of a social club to spend the most enjoyable times.
The presence of restaurants and cafes in more than one place within the project.
Providing gardens for hiking and spending a special time.
A 24-hour security presence to protect residents, with a number of surveillance cameras to ensure safety in the place.
The presence of Crystal Lagoon.
Availability of international schools to save time for the residents of the compound.
The presence of areas designated for parties and barbecue places.
The presence of a smart home system in the units.
Club House.
A commercial area with many malls where all international brands are located.
Many artificial fountains that give the place a joy, and artificial lakes, whose waters are characterized by turquoise colors.
Availability of a dedicated car park for the residents of the project.
------------------------------
Apartments for sale in Mostakbal City compounds
- Properties for sale in Bloomfields
- Apartments for sale in Bloomfields
- Houses and villas for sale in Bloomfields
- Penthouse (roof) for sale in Bloomfields
- 3 bedroom apartments for sale in Bloomfields
Apartments for sale in Mostakbal City compounds Ready To Move</t>
  </si>
  <si>
    <t>Bloomfields, Mostakbal City Compounds, Mostakbal City - Future City, Cairo</t>
  </si>
  <si>
    <t>153 sqm</t>
  </si>
  <si>
    <t>RTM townhouse in Badya Palm Hills, 6th of October,
184 sqm.
3 bedrooms and 3 bathrooms
Nannys room
a private garden
- Down payment of  4 million EGP, with the rest in flexible installments over 8 years.
**Location of Badya Palm Hills Project, 6th of October:**
- Minutes away from New Giza and Al Khamayel.
- Close to Hyper One and Mall of Arabia.
- Located near Zayed Central Park and Mall of Egypt.
- Just steps away from the 26th of July Corridor.
- Close to Royal City.
- Minutes from Dream Park and Police Mosque.
- Near the Middle Ring Road.
- Close to Juhayna Square and Sphinx International Airport.
**Services and Amenities at Badya Palm Hills, 6th of October:**
- Badya App, an application to control your home details with a smart home system.
- Shopping malls and entertainment areas.
- International schools and universities nearby.
- City-wide Wi-Fi network.
- Olympic swimming pools, plus pools for women and children.
- Sports clubs with tennis and golf courts.
- Dedicated space for horse riding.
- Squash courts.
- Cinemas and theaters.
- Touristic promenade for jogging and cycling.
- Green spaces and artificial lakes throughout the compound.
- Kids' play area.
- Administrative offices and medical clinics.
- Health club with spa, sauna, and jacuzzi.
- Social club for leisure time.
- Dedicated space for yoga and meditation.
- Private garage for each unit with a separate entrance and exit.
- Restaurants and cafes complex.</t>
  </si>
  <si>
    <t>Badya Palm Hills, 6 October Compounds, 6 October City, Giza</t>
  </si>
  <si>
    <t>Townhouse</t>
  </si>
  <si>
    <t>186 sqm</t>
  </si>
  <si>
    <t>have a fully finished penthouse  for you in prime location  Ras El Hekma Compound
-bedroom chalet  103 square meters.
Direct lagoon view.
Sea view.
Master bedroom and its own bathroom.
Bedroom.
Kitchen.
Toilet.
Super deluxe finishing+ac+kitchen
================
Payment Plan
Down payments starting from 0% and installments over several years without interest
Receipt soon
======================
Project Location
At Kilo 214 Ras Hekma, next alamza bay
30 minutes from New Alamein
20 minutes from Sidi Abdel Rahman
10 minutes from Ras El Hekma Bay
=======================
Project Services
45 Acres Crystal Lagoon with 12k sandy beach.
5 Star Hotel TANOAK
2 Beach Club House.
2 Lagoon Club House.
Commercial area (Retail &amp; FB) AZHA Downtown
âپ Sports Club
- âپ Gym</t>
  </si>
  <si>
    <t>Beit Al Bahr, Sidi Heneish, North Coast</t>
  </si>
  <si>
    <t>102 sqm</t>
  </si>
  <si>
    <t>Enjoy a European lifestyle in Mountain View, strategically located in the heart of the Fifth Settlement, near major highways and roads, and minutes away from the American University.
Finished apartment ready for delivery in Mountain View at the lowest price.
Apartment area: 125 square meters
2 bedrooms (master bedroom)
2 bathrooms
Reception
Terrace overlooking Crystal Lagoon
Down payment starting: only EGP 450,000
Payment options:
Down payment starting from 5% and flexible installments up to 8 years.
The compound combines classic architectural design with open green gardens, allowing you to live in a peaceful and safe environment away from the hustle and bustle of the city, yet close to all amenities.
Available units:
Apartments, penthouses, townhouses, twin houses, and standalone villas, with various sizes, luxurious finishes, and stunning views.
Mountain View amenities include:
Extensive green spaces, artificial lakes, swimming pools, cafes and restaurants, a sports and social club, children's entertainment areas, and 24/7 security and maintenance.</t>
  </si>
  <si>
    <t>Mountain View iCity, 5th Settlement Compounds, The 5th Settlement, New Cairo City, Cairo</t>
  </si>
  <si>
    <t>500,000 EGP</t>
  </si>
  <si>
    <t>Why Choose to Live in Cavali Residence?
A prime location in the heart of New Cairo â€“ Golden Square
Just 1 minute away from Al Ahly Club
Next to Mountain View and Palm Hills
Very close to all main roads for easy access everywhere
Top Features Youâ€™ll Love:
Competitive prices starting from EGP 40,000 per sqm
Architectural design supervised by Consultant Mohamed Hafez
A master plan inspired by the most beautiful North Coast resorts
Premium management &amp; operations by MRP International
Developed by El Basiony Real Estate, established in 2018 with a strong track record in New Damietta and New Mansoura
All these premium features at unbeatable prices compared to the location &amp; lifestyle!
For more details: 010 99226796</t>
  </si>
  <si>
    <t>Solay, 5th Settlement Compounds, The 5th Settlement, New Cairo City, Cairo</t>
  </si>
  <si>
    <t>390,000 EGP</t>
  </si>
  <si>
    <t>Get your Villa in a prime location In Hear Of New Cairo Fully Finished
and Delivered after 3 Years With All Facilities .
Unit Details ;
4 bedrooms
5 bathrooms
Kitchen
Reception
garden + terrace
---------------------------------------------
Compound services:
Landscape
Track for walking and running
Swimming pools
Social club
sports club
Gym, spa and jacuzzi
Club House
---------------------------------------------------------------------------</t>
  </si>
  <si>
    <t>Palm Hills New Cairo, 5th Settlement Compounds, The 5th Settlement, New Cairo City, Cairo</t>
  </si>
  <si>
    <t>260 sqm</t>
  </si>
  <si>
    <t>1,250,000 EGP</t>
  </si>
  <si>
    <t>Looking for elegant apartment with luxurious finishing? This modern unit offers a bright and airy living space, premium-quality interiors, and a prime location just minutes from the sea. The residence features world-class amenities, including a swimming pool, a fully equipped gym, and lush green spaces. Whether you're seeking a permanent home or a profitable investment, this is the perfect opportunity. Contact us today to book your viewing!
Apartment Size: 59mآ²
Ultra Super Lux Hotel Finishing
Delivery: By the end of 2026
Payment Plan:
20% down payment with installments over 3 years
30% down payment with installments over 4 years
40% down payment with installments over 5 years
50% down payment with installments over 5 years
25% discount for cash payments
Prime Location in the Heart of Hurghada:
7-minute walk to the beaches
10 minutes from Hurghada International Airport
5 minutes to Downtown &amp; Sheraton Street
3 minutes to Kawther area &amp; the Bank District
Contact us now for more details!
01210010036</t>
  </si>
  <si>
    <t xml:space="preserve"> 59 sqm</t>
  </si>
  <si>
    <t>897,750 EGP</t>
  </si>
  <si>
    <t>standalone Villa In Belle Vie By Emaar Misr
Phase Evergreen
Very Prime Location Overlooking Wide Landscape View
Built-Up Area 403 Meters
Land Area 391 Meters
7 Bedrooms 3 Master
5 Bathrooms
Maidâ€™s Room With Bathroom
Utility Rooms
Powder Room
2 Carport
Fully Finished
Delivery 2027
Total Price: 71,500,000
Down Payment: 31,880,035
Remaining Installments: 39,619,965 Till 2029
Maintenance:آ 3,449,911</t>
  </si>
  <si>
    <t>Belle Vie, New Zayed City, Sheikh Zayed City, Giza</t>
  </si>
  <si>
    <t>403 sqm</t>
  </si>
  <si>
    <t>31,880,035 EGP</t>
  </si>
  <si>
    <t>last chalet first row lagoon with lowest down payment and 1st year without installments! for more details: 01117570723 - 01201658769
UNIT DETAILS:
chalet
1 bedrooms
1 bathrooms
Fully finished
71 BUA
first row lagoon
one minute walking distance to the sea
-----------------------------------------------------------------------------------
Project: Soma Bay
Location: in the heart of Red Sea
located 45km away from Hurghada Airport
70 from Gouna
15km from Safaga
10km after Makadi
-----------------------------------------------------------------------------------</t>
  </si>
  <si>
    <t>ARC of Soma, Soma Bay, Safaga, Hurghada, Red Sea</t>
  </si>
  <si>
    <t xml:space="preserve"> 71 sqm</t>
  </si>
  <si>
    <t>Location: Amwaj North Coast â€“ KM 136 Alexandriaâ€“Matrouh Road, Sidi Abdelrahman
There are additional installments
Unit Type: Chalet
Area: 102 sqm
Layout: 2 Bedrooms â€“ 1 Bathroom â€“ Reception â€“ Kitchen
View: Sea and Lagoon View
Finishing: Fully finished
Project Amenities:
Private Beach
Multiple Swimming Pools
Landscaped Gardens
Kidsâ€™ Area
Restaurants &amp; Cafes
24/7 Security
Payment Plan:
â€¢ Installments available
â€¢ Flexible plans up to 8 years
â€¢ Ready-to-move-in units
â€¢ Down payment starting from 10%</t>
  </si>
  <si>
    <t>Amwaj, Sidi Abdel Rahman, North Coast</t>
  </si>
  <si>
    <t>104 sqm</t>
  </si>
  <si>
    <t>ONE7
ONE7 is a prestigious new development by Kronberg, setting a new standard for luxury, privacy, and modern living. Located in the prime Magawish area, it offers an exclusive living experience in a sought-after location just minutes from Hurghada's best amenities.
Project overview
â€¢ Location: 10 minutes from Sahl Hasheesh, 5 minutes from Senzo Mall, 15 minutes from El Kawther, 20 minutes from Hurghada Marina, and 10 minutes from Hurghada Airport
â€¢ Total Area: 65,000 mآ², including 25,000 mآ² commercial space and 40,000 mآ² residential and landscape area
â€¢ Residential Units: Only 200 exclusive units, ensuring privacy and exclusivity.
â€¢ Phase 1 Completion: Construction of Phase 1 to be completed in 2-3 months, with Phase 2 starting in 18 months and Phase 3 following 18 months thereafter
Luxury living
â€¢ Exclusive Villas: 12 spacious villas with private gardens and pools
â€¢ Step-back Design: Balconies designed to ensure privacy, with sections stepping back or extending at different levels
â€¢ Balconies: Double-glazed glass for enhanced privacy
â€¢ Private Gardens: Each unit features private terraces and gardens with 3-meter-high tree walls between units
â€¢ Secure Access: 3 main gates and no cars allowed inside the residential area or on the walking track for safety
â€¢ Parking: 500 car spaces available outside the compound
Exquisite Amenities
â€¢ Water Features: 5000 mآ² of water features, including a Lazy River, Sandy Lagoon, and a stunning waterfall
â€¢ Pools: 17 pools, including 7 main pools, 10 smaller pools, and a designated childrenâ€™s pool. Two heated pools, one for adults and one for children to be added in Phase 3
â€¢ Wellness and Leisure:
o Clubhouse with gym, wellness facilities, cafأ©, and social spaces
o Yoga Area: Outdoor yoga space for relaxation and wellbeing
o Recreational Courts: Padel, tennis, and basketball courts
â€¢ Green Spaces: 80% of the development dedicated to landscaping, with a 230 x 300 mآ² walking track for outdoor activities
â€¢ Boutique Hotel: A 22-suite hot</t>
  </si>
  <si>
    <t>Jasmine Village, Hurghada Resorts, Hurghada, Red Sea</t>
  </si>
  <si>
    <t xml:space="preserve"> 95 sqm</t>
  </si>
  <si>
    <t>1,277,200 EGP</t>
  </si>
  <si>
    <t>OWN YOUR SEA VIEW UNIT FULLY FINISHED ON SANDY BEACH IN SIDI HENESH WITH (LIMITED TIME OFFER)
--------------------------------------------------------------------------
Unit Details:
Type of Property: Chalet
Number of Bedrooms: 2
Number of Bathrooms: 2
---------------------------------------------------------------------
Hospitality &amp; Leisure:
Boutique beachfront hotel
Elegant clubhouse with social spaces and lounge areas
Sea Cinema â€“ open-air beach cinema under the stars
Dining &amp; Retail:
Multiple cafأ©s and restaurants
On-site grocery store and convenience shopping
Wellness &amp; Recreation:
Multiple swimming pools
Fitness center (gym)
Spa &amp; relaxation areas
Landscaped gardens and walking paths
Family-Friendly:
Safe, gated community
Peaceful, low-density design
Walkable environment, ideal for families
Security &amp; Services:
24/7 security &amp; surveillance (CCTV)
Gated entrances with controlled access
Full maintenance &amp; gardening services
-----------------------------------------------------------
About The Developer:
is the brain child development of three big names in the Egyptian market who have formed BAM, a Joint-Venture of:
El Abd the visionary who identified Sidi Heneish Bay more than 30 years ago as the crown jewel of the North Coast and established one of the best selected communities in Sahel, El Abd name became a synonymous to Sidi Heneish bay.
Guira, a master contractor &amp; home developers founded by Badawy family, who are an authority in engineering &amp; construction in Alexandria and North Coast.
J developments, a boutique high end development company by Ehab &amp; Waleed Mokhtar, a household name in West Cairo &amp; the creators of â€œFeel Goodâ€‌ neighborhood concept.</t>
  </si>
  <si>
    <t>139 sqm</t>
  </si>
  <si>
    <t>Zone : Aven
Type Town House Middle
BUA : 261
Land Area :  270
Finishing : Core&amp;Shell
Delivery : Within 3 years
Downpayment : 8,905,580
Remaining installment : 20,113,620
Total Price : 29,019,200
Citygate is an integrated community everything you need in one place, starting with tranquillity of nature, green spaces and amenities distributed in a well-planned space in an iconic marvellous location on New Cairo.
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specifications.</t>
  </si>
  <si>
    <t>City Gate, 5th Settlement Compounds, The 5th Settlement, New Cairo City, Cairo</t>
  </si>
  <si>
    <t>261 sqm</t>
  </si>
  <si>
    <t>8,905,580 EGP</t>
  </si>
  <si>
    <t>Apartment 80 meter at the lowest price, directly on the Suez Road in the Fifth Settlement.
In front of Creek Town Compound and next to Rehab City.
With no down payment and interest without installments up to 12 years.
EELAF Residence in the compound.
Only 10 minutes from the American University (AUC).
Only 10 minutes from the Administrative Capital.
Only 5 minutes from Madinaty and Rehab City.
Apartment 85 meters (with an excellent layout).
It consists of:
Master bedroom | Bathroom
Two-piece reception area
Large kitchen | Terrace with an open view.
At the lowest price and with excellent payment facilities.
Compound services:
Security and guarding
Surveillance cameras
Dedicated parking spaces
Electronic gates
Clubhouse.
Swimming pools
Cycling and walking areas
Green spaces and artificial lakes
Restaurants and cafes
Barbecue areas
Shops
Mosques and churches
Kids' area
Gym
Jacuzzi and sauna
0% down payment with the possibility of interest without installments over 12 years
For more details: 01116140002</t>
  </si>
  <si>
    <t>Eelaf Compound, New Cairo City, Cairo</t>
  </si>
  <si>
    <t xml:space="preserve"> 85 sqm</t>
  </si>
  <si>
    <t>159,000 EGP</t>
  </si>
  <si>
    <t>Step into design-forward living in a beach house in El Gounaâ€™s newest central district.
This residence offers wide lagoon views and seamless access to all amenities.
Pay only 15% down, and move in with 5-year installment options.
Few premium apartments remaining â€“ Call now â†’ 01212531929
---------------------------------------------------------------------------------------------------------------
UNIT DETAILS:
Bedrooms: 2
Bathrooms: 2
BUA: 120 sqm
Finishing: Fully Finished + ACs + Heaters+kitchen kabinets
Downpayment: 15%
Installments: Up to 5 Years
---------------------------------------------------------------------------------------------------------------
FACILITIES:
Waterfalls &amp; Terraced Greenery
Close to G Valley: Dining &amp; Retail
Marina Access &amp; Boat Docks
Gardens, Promenade &amp; Clubhouse
Sustainability-Oriented Masterplan
---------------------------------------------------------------------------------------------------------------
Schedule your visit now â†’ 01212531929</t>
  </si>
  <si>
    <t>130 sqm</t>
  </si>
  <si>
    <t>4,500,000 EGP</t>
  </si>
  <si>
    <t>Townhouse 4 Bedrooms
Most Prime Location â€“ VYE &amp; Karmell by Sodic
Built-up Area: 240 sqm
Land Area: 360 sqm
Semi Finished
4 Bedrooms
Premium Location within the project
---
About the Project:
VYE &amp; Karmell by Sodic are among the most prestigious developments in New Zayed, designed to set a new benchmark for modern living in West Cairo. Developed by Sodic, one of Egyptâ€™s leading real estate developers with decades of experience, the project integrates contemporary architecture, wide green spaces, and world-class amenities to create a fully integrated community.
Lifestyle &amp; Community:
VYE focuses on innovation and smart living, offering modern designs, open spaces, and a vibrant atmosphere, while Karmell draws inspiration from Californiaâ€™s lifestyle, featuring wide streets, outdoor living concepts, and a laid-back yet luxurious feel. Together, these two communities offer residents a unique combination of relaxation, activity, and sophistication, creating the perfect environment for families and individuals alike.
Facilities &amp; Amenities:
Expansive green areas and landscaped gardens
Clubhouse with sports &amp; recreational facilities
Retail areas with shops, cafes, and dining outlets
Schools, nurseries, and medical facilities nearby
24/7 security and smart infrastructure
Excellent connectivity to main roads leading to Sheikh Zayed, Smart Village, and Downtown Cairo
Investment Value:
Owning a 4-bedroom Townhouse in VYE &amp; Karmell means more than just a luxurious lifestyleâ€”it is also a high-potential investment. Thanks to the projectâ€™s prime location in New Zayed and Sodicâ€™s strong reputation, property values are expected to appreciate significantly over time. With flexible payment plans and early delivery options, this is one of the most attractive real estate opportunities in West Cairo today.</t>
  </si>
  <si>
    <t>Eden, Cairo Gate, Sheikh Zayed Compounds, Sheikh Zayed City, Giza</t>
  </si>
  <si>
    <t>360 sqm</t>
  </si>
  <si>
    <t>Lake view residence 2
Apartment for sale
5th floor
Area 145 sqm
2 bedrooms
2 bathrooms
Total price 15.790.000
Down payment 2.975.000
Delivery 9/2027
About Lake View Residence
Lake View Residence is a huge mixed-use development in New Cairo by El Lake View Development  Company. The project is your one-stop-shop to live, work, and shop under one roof.
This all-inclusive project enjoys a wide range of unique selling points, including its central location in Fifth Settlement, its top-tier facilities, and its high-end services all that work together in a harmony to offer the residents the best living, shopping, working, and playing experience.</t>
  </si>
  <si>
    <t>Lake View Residence 2, 5th Settlement Compounds, The 5th Settlement, New Cairo City, Cairo</t>
  </si>
  <si>
    <t>145 sqm</t>
  </si>
  <si>
    <t>2,975,000 EGP</t>
  </si>
  <si>
    <t>Apartment Limited Offer Book immediately in Ever
Area:156, directly on the View from two sides
Consists of: 3 bedrooms - 2 bathrooms
Total Price: 14,000,000
Prime Location with a 10% down payment + equal installments over 8 years without interest
For viewing and visiting the compound, call now: 01145402513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t>
  </si>
  <si>
    <t>Ever, 26th of July Corridor, 6 October City, Giza</t>
  </si>
  <si>
    <t>157 sqm</t>
  </si>
  <si>
    <t>Own a 115 sqm Apartment with a Garden View in the Newest Phase of Madinaty (B14) at the Lowest Price Per Meter
Apartment Details:
Area: 115 sqm
Location: Group 141 â€“ The first group to be delivered in Phase B14
View: Overlooking a garden â€“ corner unit, fully open view with complete privacy
Layout: 3 bedrooms â€“ 2 bathrooms (Smart layout with optimal space utilization)
Delivery: Within one and a half years
Key Advantages:
The total contract value is 6 million EGP less than the current company price
Total price is equivalent to the current price of a studio apartment by the developer
Flexible installment plans up to 12 years
Payment Details:
Down payment for assignment: 2,900,000 EGP
Monthly installment: 15,000 EGP
Annual installment: 155,000 EGP
For inquiries:
Adham Amr
EXPERTS Real Estate Marketing
Office No. S10 â€“ East Business Hub â€“ Madinaty â€“ New Cairo
Mobile: +20 112 555 5249</t>
  </si>
  <si>
    <t>115 sqm</t>
  </si>
  <si>
    <t>2,900,000 EGP</t>
  </si>
  <si>
    <t>LIMITTED OFFER _5% DOWNPAYMENT + 5% AFTER 6 MONTHS PAY OVER 7 YEARS INSTALLMENTS AFTER 1 YEAR .
_______________________
_ PROJECT NAME : SOMA BAY
_ DEVELOPER NAME : ABO SOMA DEVELOPMENT
_______________________
_ UNIT DETAILS :
- 2 MASTER BEDROOMS
- 2 MASTER BATHROOMS
- 1 BEDROOMS
- BATHROOM
- GUEST TOILET
- RECEPTION
- ROOF
______________________
_ FEEL FREE TO CONTACT ME AT : 01220517220
_______________________
_ PAYMENT PLAN :
- 5% DOWNPAYMENT + 5% AFTER 6 MONTHS PAY OVER 7 YEARS INSTALLMENTS.</t>
  </si>
  <si>
    <t>134 sqm</t>
  </si>
  <si>
    <t>630,000 EGP</t>
  </si>
  <si>
    <t>Fully Finished Chalet with Panoramic Sea &amp; Lagoon Views â€“ Prime Location in Somabay
Special Offer â€“ Limited Time Only
Pay just 5% down payment with installments up to 8 years
First installment after 1 year
Chalet Features:
Built-up Area: 130 mآ²
Bedrooms: 2
Bathrooms: 3
Private Garden: 110 mآ²
Fully Finished
Why Choose Somabay?
Somabay is set on elevated terrain offering unmatched views and top-tier facilities, including:
Crystal lagoons and multiple swimming pools
Clubhouse and festival zones
Upscale dining and cafes
Concierge &amp; property management services
International retail outlets
Medical clinics and full-service hospital
Sports areas and children's zones
International schools and learning centers
Five-star luxury hotels
A rare opportunity to own a home with stunning views, premium amenities, and a flexible payment plan in one of Egyptâ€™s most desirable seaside communities.
For more information, contact us at: 01202731156</t>
  </si>
  <si>
    <t>Mesca, Soma Bay, Safaga, Hurghada, Red Sea</t>
  </si>
  <si>
    <t>ط´ط§ظ„ظٹظ‡ ظ…ظ…ظٹط² ظ„ظ„ط¨ظٹط¹ ظپظٹ ظ…ط§ط±ط³ظٹظ„ظٹط§ ط¨ظٹطھط´ 5 ( ط±ط§ط³ ط§ظ„ط­ظƒظ…ط© )
â€¢ ظ…ط³ط§ط­ط©95ظ… â€“ طھط´ط·ظٹط¨ ط³ظˆط¨ط± ظ„ظˆظƒط³.
â€¢ 2 ط؛ط±ظپ
â€¢ ظ„ظٹظپظٹظ†ط¬.
â€¢ ط­ظ…ط§ظ….
â€¢ ظ…ط·ط¨ط®.
â€¢ط¯ظˆط± ظ…طھظƒط±ط±.
â€¢ ط§ط³طھظ„ط§ظ… 2028.
â€¢ ط¥ط¬ظ…ط§ظ„ظٹ ط§ظ„ظ…ط·ظ„ظˆط¨ : 7,600,000 .
â€¢ ط§ظ„ظ…ظ‚ط¯ظ… 5.1 % (390,000)
â€¢ط§ظ„ظ…طھط¨ظ‚ظٹ ط¹ظ„ظٹ 40 ظ‚ط³ط· ط¨ظ‚ظٹظ…ط© (7,210,000) (ط¹ظ„ظٹ 10 ط³ظ†ظˆط§طھ ظ‚ظٹظ…ط© ط§ظ„ظ‚ط³ط· ط±ط¨ط¹ ط³ظ†ظˆظٹ 180,000)
================================
â€¢ ظ„ظ…ط²ظٹط¯ ظ…ظ† ط§ظ„ظ…ط¹ظ„ظˆظ…ط§طھ ظٹط±ط¬ظٹ ط§ظ„ط§طھطµط§ظ„ ط¹ظ„ظٹ : 01111973159</t>
  </si>
  <si>
    <t>Marseilia Beach 5, Ras Al Hekma, North Coast</t>
  </si>
  <si>
    <t>Own a modern studio apartment in Atlantis Hurghada, a fully serviced residential community that blends elegance, a prime location, and world-class amenities. Ideally situated in El Mohamady Square, this project is a perfect choice for both comfortable living and profitable investment.
Apartment Features:
studio
47 sqm
Open-concept living and dining area
1 bathrooms with contemporary design
Stylish kitchen
High-quality finishes and solid construction
Project Advantages:
Several swimming pools
Integrated commercial mall
Beautifully landscaped gardens and green areas
Secure underground parking
Payment Plan:
15% down payment â€“ Installments up to 5 years
For inquiries and reservations:
01505001626
info@onestaeg.com
Onesta Project Management
Over 20 years of experience in the Red Sea real estate market.
We prioritize your best interest at every step
Full support throughout the entire buying process
A trusted name with a proven track record of successful projects.
Act now â€“ limited units remaining.</t>
  </si>
  <si>
    <t>Atalantis, Hurghada Resorts, Hurghada, Red Sea</t>
  </si>
  <si>
    <t xml:space="preserve"> 47 sqm</t>
  </si>
  <si>
    <t>452,610 EGP</t>
  </si>
  <si>
    <t>Live in the heart of O West with world-class facilities.
Live with the elietest owners like you.
Own your villa or apartment with just 5% down payment.
Flexible installments over 9 years.
Luxury living surrounded by greenery, parks, and amenities.
Call now to book your unit and get this month's offer! ----&gt; 01222512407
------------------------------------------
Unit Details:
BUA: 150
Bedrooms: 3
Bathrooms: 3
-------------------------------------------
Facilities:
Central Park (4 acres of greenery)
Fully equipped indoor &amp; outdoor gyms
Dedicated yoga area
Outdoor cinema
Kidsâ€™ play areas
Walking &amp; jogging tracks
Sports facilities
Clubhouse access
Community retail &amp; dining spots
24/7 security &amp; gated entrances
Underground parking
Smart infrastructure &amp; sustainable design
-----------------------------------------
Prime Project Location:
آ· 3 minutes from Mall of Egypt
آ· 3 minutes from Dahshur Link
آ· 5 minutes from Meyyan Juhayna and Mall of Arabia
آ· Directly on Al Wahat Road
آ· 10 minutes from 26th of July Axis
آ· 7 minutes from Arkan Plaza &amp; Capital Business Park
آ· 7 minutes from the Ring Road
-----------------------------------------
Don't miss this opportunity to own a prime property in one of West Cairo's most strategic and well-connected locations. Enjoy a lifestyle of convenience, luxury, and tranquility.
For more details, contact us by phone or WhatsApp:01222512407</t>
  </si>
  <si>
    <t>O West, 6 October Compounds, 6 October City, Giza</t>
  </si>
  <si>
    <t>5 EGP</t>
  </si>
  <si>
    <t>Apartment for sale in compound Sodic east
new cairo
resale
Open view on the club
bua 174 m
3 bedrooms
3 bathrooms
Floor: 1st floor
Fully finished
Downpayment 3â€™700â€™000
Installment 8â€™000â€™000 till 2031
deliver 2027
Code: WFP 0037
To contact us, call:
201032300008
201050552325</t>
  </si>
  <si>
    <t>Sodic East, 6th District, New Heliopolis, Cairo</t>
  </si>
  <si>
    <t>174 sqm</t>
  </si>
  <si>
    <t>3,700,000 EGP</t>
  </si>
  <si>
    <t>Al Abtal Developer
Al Abtal Developer is the owner of the project and is considered one of the leading real estate companies in Hurghada. The company currently ownrs and manages 7 ongoing construction projects located in strategic areas.
.................................................................................................
Payment Plan:
Total Price: EGP 2,571,750
Down Payment (40%): EGP 1,028,700
Quarterly Installments: EGP 154,305
Installment Period: 2.5 years, interest-free
Cash Discount: 15% off for full payment
...............................................................................................
Apartment Details:
Area: 127 sqm
Bedrooms: 2
View: Pool-side view
Finishing: High-quality finishes
Delivery Date: 2026
....................................................................................................
Project Amenities:
3 Swimming Pools
Kidsâ€™ Play Area
Gym &amp; Spa
Shopping Center
Green Spaces
24/7 Security &amp; CCTV
Maintenance &amp; Facility Management
Housekeeping Services
.......................................................................................................
Location:
In front of Bestway â€“ Al Ahyaa, Hurghada
Steps from Al Ahyaa Main Promenade
5 mins to Royal Beach
8 mins to University
15 mins to Schools
20 mins to El Gouna
25 mins to Hurghada Airport
......................................................................................................
Contact Al Abtal Developer now to schedule a viewing or request more details:
max@abtalhurghada.com</t>
  </si>
  <si>
    <t>127 sqm</t>
  </si>
  <si>
    <t>1,028,700 EGP</t>
  </si>
  <si>
    <t>Atlantis project offers premium living in a prime location â€“ El-Midan El-Mohamady, at the start of the Touristic Promenade, just steps away from the sea, beaches, and all essential services.
Developed by Castello, the project includes:
One of the largest swimming pools in the area
Restaurants, cafأ©s, private parking
24/7 security
High-end finishing in all units
Available units:
From studio apartments to duplexes, ranging from 40 sqm to 215 sqm.
Flexible payment plans:
Only 15% down payment
Installments up to 6 years â€“ interest-free
Contact us now for full details and to reserve your unit in Hurghadaâ€™s top location.</t>
  </si>
  <si>
    <t xml:space="preserve"> 70 sqm</t>
  </si>
  <si>
    <t>516,289 EGP</t>
  </si>
  <si>
    <t>Palm Hills
------------------------
Own your home now in Badya, from Palm Hills, with a 0% down payment.
*** Equal installments over 12 years ***
Location: New October
-2 Beds
-2 Bathroom
Terrace
For more information please contact us via calls or WhatsApp on 01101801119
--------------------------
Compound Services :
- Luxurious cafes offer customers a selection of the most beautiful warm and cold .
-Commercial malls are built on a huge space containing several shops that provide residents with the finest brands and international products.
-A gym where people can practice popular sports activities such as tennis, running, and squash.
-Security and guarding services are spread throughout the compound to provide full protection and security for residents all day.
- swimming pool
- Industrial lakes
- social Club.
------------------------
Apartments for sale in Sheikh Zayed Compounds
Properties for sale in Badya Palm Hills
Apartments for sale in Badya Palm Hills
Villas for sale in Badya Palm Hills
Townhouses for sale in Badya Palm Hills
Penthouses for sale in Badya Palm Hills
Duplexes for sale in Badya Palm Hills
Studio apartments for sale in Badya Palm Hills
1 bedroom apartments for sale in Badya Palm Hills
2 bedroom apartments for sale in Badya Palm Hills
3 bedroom apartments for sale in Badya Palm Hills
4 bedroom apartments for sale in Badya Palm Hills
--------------------------------------------
Realm For Properties was established in 2023 and has been working in the field of real estate marketing since its inception and works with the best and largest real estate developers in Egypt due to the great experience of our sales teams.
Why Realm For Properties is the perfect choice:
01.
Best Sales Team (Architect)
We have the best sales team ready to work immediately.
02.
a large number of clients
Our clients and investors are always ready.
03.
Professionalism at work
We specialize in completing your work professionally and very quickly</t>
  </si>
  <si>
    <t>106 sqm</t>
  </si>
  <si>
    <t>Penthouse for Sale in Badya â€“ Old Price â€“ Immediate Delivery with Installments
Penthouse â€“ Badya Palm Hills
BUA: 146 mآ² + Roof 75 mآ²
2 Master Bedrooms
3 Bathrooms
Kitchen
2 Terraces
5th Floor
Fully Finished
Old Contract â€“ Easy Installments
Down Payment: 4,850,000
Remaining: 1,380,000
Total: 6,230,000
Installments up to 6 years
Ready to Move</t>
  </si>
  <si>
    <t>146 sqm</t>
  </si>
  <si>
    <t>1,380,000 EGP</t>
  </si>
  <si>
    <t>Marsa Baghush
----------------------------------------------------------------
A 3 bedroom Chalet in Marsa Baghush by Shehab Mazhar. The Chalet size is 170 m2 with 3 bathrooms.
This property will be ready for delivery finished.
______________________________________________________________
UNIT DETDETAILS
- BUA 280 sqm
- BEDROOMS 4
- BATHROOMS 4
- SEA VIEW
- PRIME LOCATION
- FULLY FINISHED
____________________________________________________________
FOR MORE DETAILS : 01225568749
FOR MORE DETAILS : 01225568749
____________________________________________________________
Marsa Bagoush North Coast Village is a massive tourist project on the Mediterranean coast. It was built and designed in a modern, luxurious, and sophisticated style. The resort was developed by SQM, one of the leading real estate companies in the Egyptian real estate market.
Marsa Baghush North Coast is one of the most important projects developed by SQM Real Estate Investment. The company has hired a large team of consultants and specialists in real estate design to produce a unique project of high quality. The project is distinguished by being designed on a large area of â€‹â€‹â€‹â€‹76 acres. The resort also includes various units including chalets, twin houses, townhouses and independent villas. These units come in different areas starting from 75 square meters, and prices starting from 24,000,000 Egyptian pounds.
The developer also offers flexible, interest-free payment plans, starting with a 10% down payment and the remaining amount paid over 8 years. When you enter a resort like Marsa Bagoush North Coast, you'll find yourself secluded from the hustle and bustle of the outside world, nestled in a world of tranquility and nature.
Marsa Bagoush North Coast village is approximately 21 km away from Ras El Hekma
Th</t>
  </si>
  <si>
    <t>Marsa Baghush, Qesm Marsa Matrouh, North Coast</t>
  </si>
  <si>
    <t>280 sqm</t>
  </si>
  <si>
    <t>IL Monte Galala â€“ Ain Sokhna, between the mountains and the sea, by Tatweer Misr
Hotel chalet for sale, ready for immediate delivery
Fully finished in installments, in a prime location directly overlooking the sea
(Mont Galala) Ain Sokhna
- Master bedroom with panoramic terrace
- Reception
- Home accessories
- Appliances
- Terrace with lagoon view
Down payment starting from only 5%, with convenient installments up to 10 years.
Live a unique experience at a panoramic height above the sea, in IL Monte Galala, one of Ain Sokhna's most prestigious projects. Located less than an hour from Cairo, between the mountains and turquoise waters, it boasts world-class architectural designs and green spaces, amidst integrated services that suit both relaxation and modern living.
Available units:
Chalets â€“ Lofts â€“ Townhouses â€“ Standalone villas, all with luxurious finishes and direct views of the sea, mountains, or lagoon.
Services:
A lagoon running the length of the project â€“ a private beach â€“ a walking and hiking track â€“ a crystal lagoon â€“ luxury hotels â€“ a sports area â€“ upscale cafes and restaurants â€“ a health club â€“ a children's area â€“ and 24/7 security and maintenance services.
Il Monte Galala is more than a summer resortâ€¦it's a coastal and healthy lifestyle that combines adventure, comfort, and luxury in every detail.</t>
  </si>
  <si>
    <t>IL Monte Galala, Al Ain Al Sokhna, Suez</t>
  </si>
  <si>
    <t>740,000 EGP</t>
  </si>
  <si>
    <t>For Sale: 1 Bedroom Apartment Kamaran
Fully Finished with ACs, Kitchen Cabinets, Boilers &amp; Dressers
Property Overview
A well appointed 1 bedroom apartment in Kamaran, fully finished and equipped with essential fittings and appliances. Ideal as a holiday home, permanent residence, or investment property.
Unit Details
1 Bedroom
1 Bathroom
Living Room
Terrace
Property Specifications
Built Up Area: 66 sqm
Finishing: Fully Finished with ACs, Kitchen Cabinets, Boilers &amp; Dressers
Condition: Move In Ready
Highlights
Turnkey Property Ready to Use
Equipped with Quality Fixtures and Appliances
Located in a Peaceful, Well Maintained Community
Contact for More Information or Viewing
Phone: +20 120 165 9314
Mobile: 0120 165 9314</t>
  </si>
  <si>
    <t>Kamaran, Al Gouna, Hurghada, Red Sea</t>
  </si>
  <si>
    <t xml:space="preserve"> 66 sqm</t>
  </si>
  <si>
    <t>A beachfront chalet at the first launch price in VILLAR, New Alamein, with installments over 10 years, interest-free.
All chalets have a distinctive sea view directly, with ultra-luxurious finishing.
Directly opposite Marina 4.
At kilometer 101, Alexandria-Matrouh Road.
First exit off Wadi El Natrun Road.
Construction rate only 8%.
Chalet area: 60 square meters (studio with a very distinctive layout).
Master bedroom | Bathroom
Two-piece reception area | Kitchen
Terrace with a distinctive view
Sea view
Fully finished.
At the project's inaugural price.
Facilities &amp; Amenities
Clubhouse
Sports Area
Kids Area
Commercial Strip
Open-Air Cinema
Swimming Lagoons
With a 10% down payment and the possibility of installments over 10 years, interest-free.
For more details: 01115611103</t>
  </si>
  <si>
    <t xml:space="preserve"> 60 sqm</t>
  </si>
  <si>
    <t>300,000 EGP</t>
  </si>
  <si>
    <t>For Fifth Settlement
North House
Apartment
Area:
166 m
3 bedrooms
3 bathrooms
Price:
4,184,000
Down Payment:
1,000,000
Lowest Price in the Fifth Settlement
With the Lowest Down Payment and Closest Delivery
Market Opportunity
Snapshot for a Quick Sale
Very Distinctive Area
Best Location in the Fifth Settlement
Close to All Services
Second Number from Suez Road
================
Contact Number:
01090110662
==========</t>
  </si>
  <si>
    <t>North House, The 5th Settlement, New Cairo City, Cairo</t>
  </si>
  <si>
    <t>1,000,000 EGP</t>
  </si>
  <si>
    <t>Ready to move apartment in Vye compound, next to Solana by Ora and Belle Vie by Emaar, minutes from Beverly Hills and El Rabwa Compound.
Area: 158 sqm
- 3 bedrooms including master room
- nanny's room
- 4 bathrooms
- reception
- terrace
Payment plan:
4,100,000 and the rest over 8 years
The compound is located in a very prime location:
* Minutes from Sphinx Airport
* Minutes from Smart Village
* Minutes from Beverly Hills
Facilities
- Commercial area
- club
- Swimming pools
- Tracks for walking
- Security and guarding
Sodic Previous Projects:
- Beverly Hills
- Six West
- Allegria
- Forty West
- The Estates
- The Estates Residence
- Vye and Karmell
- Caesar North Coast
- June North Coast
For Contacts: 01029092965</t>
  </si>
  <si>
    <t>Vye Sodic, New Zayed City, Sheikh Zayed City, Giza</t>
  </si>
  <si>
    <t>158 sqm</t>
  </si>
  <si>
    <t>2BD Chalet Double View ( Sea &amp; Lagoon ) Lowest Price Ever !!
For more Details Contact me : 01225568043
Unit Details :
Chalet
Number Of bedrooms : 2
Number Of Bathrooms : 2
BUA: 110 Sqm
Fully Finished
For more Details Contact me : 01225568043
About Soma Bay Hurghada
Soma Bay is one of the distinguished projects that have been established in Hurghada, on the Red Sea coast. The resort is located in a vast area that is â€‹â€‹about 3.4 million square meters. 85% of the area is allocated to green spaces, water features, and open spaces to provide you with all requirements of life within an integrated community.
The coastal resort occupies a privileged position, as it is 78 meters above sea level and the highest point , ensuring unique panoramic views over the Red Sea whereverآ youآ are.</t>
  </si>
  <si>
    <t>OWN YOUR FINISHED VILLA WITH PANORAMIC SEA VIEW !!
SODIC DEVELOPMENT
NORTH COAST
------------------------------------------------------------------
Unit Details:
4 Bedrooms
4 Bathrooms
Garden
Pool
Lagoons
View of Water
Panoramic Sea View
Security
Gym
Spa
Jacuzzi
Children's Pool
Central A/C's
------------------------------------------------------------------------------------------
For More Details Contact Me: 01225568346
------------------------------------------------------------------------------------------
SODICâ€™s latest beachfront destination, June, is a coastal beach town with a beautiful sandy beach and pristine seawater. The Miami inspired development offers a wide range of neighborhoods, each with a very unique sense of the summer feel, to meet diversified tastes and living needs. Interconnected for residentsâ€™ convenience, June offers pedestrian-only tracks dedicated to walking, jogging, rollerblading, skateboarding, scooters, and bicycles. With hotel-serviced apartments and villas, a scenic coastline, swimmable lagoons, unobstructed horizon pools, beach hotels, and a plethora of amenities, June adds a one-of-a-kind home feel to the ownerâ€™s summer escape. Like the rest of SODICâ€™s developments, June is built with an ecofriendly vision and brings smart green living to the North Coast. The new Dabaa road facilitates a much smoother commute from Cairo, providing ease of access to this summer getaway.</t>
  </si>
  <si>
    <t>Ogami, Ras Al Hekma, North Coast</t>
  </si>
  <si>
    <t>301 sqm</t>
  </si>
  <si>
    <t>1 EGP</t>
  </si>
  <si>
    <t>*For Sale: Stunning Fully-Finished Chalet With Panoramic View - Facing North*
- Very Close To The Sandy Beach And 1ST Row Lagoon!
- Pay just 5% down with long-term, equal installments!
"Great opportunity for luxury beachside living! Need help? Call 01279279713"
======================================
- Chalet Details :
(BUA): 140 mآ²
Number Of Bedrooms : 2 Master + Nanny Room
Number Of Bathrooms : 3 Bath
Big Reception
American Kitchen
*For More Info : 01279279713
======================================
Facilities and Amenities:
Bask in the 1.4â€¯km private sandy beach and unwind in the 20-acre lagoonâ€”perfect for water sports or peaceful reflection.
Stay active in the expansive 13-acre Sports Campus featuring football and padel courts, a semiâ€‘Olympic pool, fitness studios, and dedicated kids' zones.
Indulge in wellness and hospitality with a luxury hotel, clubhouse, spa, sauna, and Jacuzzi at your doorstep.
Enjoy the vibrant Village Street, complete with cafes, shops, restaurants, and the serene Farm social hub.
Attend events in the ambient open-air amphitheater, or let the little ones roam freely in the safe children's play areas.
Dive into fun at the waterpark with island attractions, and savor fine dining and cafأ© experiences throughout.
Live with peace of mind thanks to 24/7 security, surveillance, and modern infrastructure.
Stay connected via scenic pedestrian and cycling paths, underground parking, and convenient internal transit.
Access daily necessities seamlesslyâ€”clinics, pharmacies, banking services, and round-the-clock maintenance support are all within reach.</t>
  </si>
  <si>
    <t>Ramla Lakeside, Qesm Ad Dabaah, North Coast</t>
  </si>
  <si>
    <t>ظ…ط´ط±ظˆط¹ ط³ظƒظ†ظٹ Nile Boulevard â€“ ط¨ظ…ظˆظ‚ط¹ ط§ط³طھط±ط§طھظٹط¬ظٹ ظ…ظ…ظٹط² ظپظٹ ظ‚ظ„ط¨ ط§ظ„ظ‚ط§ظ‡ط±ط© ط§ظ„ط¬ط¯ظٹط¯ط©  ط­ط¬ط² ظ‚ط¯ظٹظ… ط§ظ„ظˆط­ط¯ط§طھ ظ…طھط§ط­ط© ط¨ط§ظ‚ظ„ ط§ظˆظپط±ط§طھ ط¨ط§ظ„ط³ظˆظ‚
ظˆط­ط¯ط© 145 ظ…آ² â€“ ط§ظ„ط¯ظˆط± ط§ظ„ط«ط§ظ†ظٹ
â€¢ 3 ط؛ط±ظپ â€“ 2 ط­ظ…ط§ظ…
â€¢ ظپظٹظˆ: Central Park
â€¢ ظ†طµظپ طھط´ط·ظٹط¨
â€¢ ط³ط¹ط± ط§ظ„طھط¹ط§ظ‚ط¯: 6,235,000 ط¬
â€¢ ط§ظ„ظ…ط¨ظ„ط؛ ط§ظ„ظ…ط³ط¯ط¯: 2,040,000 ط¬
â€¢ ط§ظ„ط£ظˆظپط±:
â€¢ ط§ظ„ظ‚ط³ط·: 246,900 ط¬ ظƒظ„ 3 ط´ظ‡ظˆط±
â€¢ ط¹ظ†ظˆط§ظ† ط§ظ„ظˆط­ط¯ط©: B02-304
ظˆط­ط¯ط© 159 ظ…آ² â€“ ط¯ظˆط± ظ…طھظƒط±ط±
â€¢ 3 ط؛ط±ظپ â€“ 2 ط­ظ…ط§ظ…
â€¢ ظ†طµظپ طھط´ط·ظٹط¨
â€¢ ط³ط¹ط± ط§ظ„طھط¹ط§ظ‚ط¯: 6,837,000 ط¬
â€¢ ط§ظ„ظ…ط¨ظ„ط؛ ط§ظ„ظ…ط³ط¯ط¯: 2,236,750 ط¬
â€¢ ط§ظ„ط£ظˆظپط±:
â€¢ ظ†ط¸ط§ظ… ط§ظ„ط³ط¯ط§ط¯: طھظ‚ط³ظٹط· ط¹ظ„ظ‰ 6 ط³ظ†ظˆط§طھ
â€¢ ط¹ظ†ظˆط§ظ† ط§ظ„ظˆط­ط¯ط©: B02-G03
ظˆط­ط¯ط© 159 ظ…آ² + ط­ط¯ظٹظ‚ط© 113 ظ…آ²
â€¢ 3 ط؛ط±ظپ â€“ 2 ط­ظ…ط§ظ…
â€¢ ط­ط¯ظٹظ‚ط© ط®ط§طµط©
â€¢ ظ†طµظپ طھط´ط·ظٹط¨
â€¢ ط³ط¹ط± ط§ظ„طھط¹ط§ظ‚ط¯: 8,260,000 ط¬
â€¢ ط§ظ„ظ…ط¨ظ„ط؛ ط§ظ„ظ…ط³ط¯ط¯: 2,702,000 ط¬
â€¢ ط§ظ„ط£ظˆظپط±:
â€¢ ظ†ط¸ط§ظ… ط§ظ„ط³ط¯ط§ط¯: طھظ‚ط³ظٹط· ط¹ظ„ظ‰ 6 ط³ظ†ظˆط§طھ
â€¢ ط¹ظ†ظˆط§ظ† ط§ظ„ظˆط­ط¯ط©: B02-G03
ظ…ظ…ظٹط²ط§طھ ظ…ط´ط±ظˆط¹ Nile Boulevard
â€¢ ظ‚ط±ظٹط¨ ظ…ظ† ط§ظ„ط±ط­ط§ط¨ ط´ط§ط±ط¹ ط§ظ„طھط³ط¹ظٹظ† ظˆظ…ط­ظˆط± ظ…ط­ظ…ط¯ ط¨ظ† ط²ط§ظٹط¯
â€¢ ط¯ظ‚ط§ط¦ظ‚ ظ…ظ† ط§ظ„ط¹ط§طµظ…ط© ط§ظ„ط¥ط¯ط§ط±ظٹط© ظˆط§ظ„ط·ط±ظٹظ‚ ط§ظ„ط¯ط§ط¦ط±ظٹ ط§ظ„ط£ظˆط³ط·ظ‰
طھطµظ…ظٹظ… ط£ظˆط±ظˆط¨ظٹ ظƒظ„ط§ط³ظٹظƒظٹ ط£ظ†ظٹظ‚
â€¢ ظ…ط³طھظˆط­ظ‰ ظ…ظ† ط§ظ„ظ†ظٹظˆ ظƒظ„ط§ط³ظٹظƒ ط§ظ„ط£ظˆط±ظˆط¨ظٹ
â€¢ ظˆط§ط¬ظ‡ط§طھ ظپط§ط®ط±ط© ظˆظ…ط¯ط§ط®ظ„ ط±ط®ط§ظ…
ظ…ط³ط§ط­ط§طھ ط®ط¶ط±ط§ط، ظˆظپظٹظˆ ظ…ظ…ظٹط²
â€¢ ط¥ط·ظ„ط§ظ„ط§طھ ظ…ط¨ط§ط´ط±ط© ط¹ظ„ظ‰ Central Park
â€¢ ظ„ط§ظ†ط¯ط³ظƒظٹط¨ ط±ط§ط¦ط¹ ظˆظ…ط³ط§ط­ط§طھ ظ…ظپطھظˆط­ط©
ظ†طµظپ طھط´ط·ظٹط¨ ط¨ط¬ظˆط¯ط© ط¹ط§ظ„ظٹط©
â€¢ طھط´ط·ظٹط¨ ط®ط§ط±ط¬ظٹ ظƒط§ظ…ظ„ + ظ…طµط§ط¹ط¯ ظˆط¥ظ†طھط±ظƒظ…
â€¢ ط¨ط§ط¨ ط´ظ‚ط© ظ…طµظپط­طŒ طھط£ط³ظٹط³ ظƒظ‡ط±ط¨ط§ط، ظˆط³ط¨ط§ظƒط©طŒ ط£ظ„ظˆظ…ظ†ظٹظˆظ… P.S
ط¬ط±ط§ط¬ط§طھ ظˆظ…ط¯ط§ط®ظ„ ظ…ظ†ظپطµظ„ط© ظ„ظƒظ„ ظ…ط¨ظ†ظ‰
â€¢ ط±ط§ط­ط© ظˆط®طµظˆطµظٹط© ظƒط§ظ…ظ„ط© ظ„ظ„ط³ظƒط§ظ†
ظ…ط¬طھظ…ط¹ ط³ظƒظ†ظٹ ظ…طھظƒط§ظ…ظ„
â€¢ ظƒظ…ط¨ظˆظ†ط¯ ظ‡ط§ط¯ط¦ ظˆط¢ظ…ظ†
â€¢ ط®ط¯ظ…ط§طھ ظ…طھظƒط§ظ…ظ„ط© (ط£ظ…ظ† â€“ طµظٹط§ظ†ط© â€“ ظ…ظ†ط§ط·ظ‚ طھط±ظپظٹظ‡ظٹط©)
ظپط±طµط© ط§ط³طھط«ظ…ط§ط±ظٹط© ظ…ط¶ظ…ظˆظ†ط©
â€¢ ط£ط³ط¹ط§ط± ط­ط¬ط² ظ‚ط¯ظٹظ…ط©
â€¢ ط®ط·ط· ط³ط¯ط§ط¯ ظ…ط±ظ†ط© ط­طھظ‰ 6 ط³ظ†ظˆط§طھ
â€¢ ط§ط±طھظپط§ط¹ ظ…ط³طھظ…ط± ظپظٹ ظ‚ظٹظ…ط© ط§ظ„ط¹ظ‚ط§ط±
ظ„ظ„طھظˆط§طµظ„
01100009357</t>
  </si>
  <si>
    <t>Nile Boulevard, New Cairo City, Cairo</t>
  </si>
  <si>
    <t>2,800,000 EGP</t>
  </si>
  <si>
    <t>OWN YOUR SEA VIEW UNIT FULLY FINISHED ON SANDY BEACH IN SIDI HENESH WITH (LIMITED TIME OFFER)
-------------------------------------------
Unit Details:
Type of Property: Villa
Number of Bedrooms: 3 +NANNY'S ROOM
Number of Bathrooms: 4
---------------------------------------------------
Hospitality &amp; Leisure:
Boutique beachfront hotel
Elegant clubhouse with social spaces and lounge areas
Sea Cinema â€“ open-air beach cinema under the stars
Dining &amp; Retail:
Multiple cafأ©s and restaurants
On-site grocery store and convenience shopping
Wellness &amp; Recreation:
Multiple swimming pools
Fitness center (gym)
Spa &amp; relaxation areas
Landscaped gardens and walking paths
Family-Friendly:
Safe, gated community
Peaceful, low-density design
Walkable environment, ideal for families
Security &amp; Services:
24/7 security &amp; surveillance (CCTV)
Gated entrances with controlled access
Full maintenance &amp; gardening services
-----------------------------------------------------------
About The Developer:
is the brain child development of three big names in the Egyptian market who have formed BAM, a Joint-Venture of:
El Abd the visionary who identified Sidi Heneish Bay more than 30 years ago as the crown jewel of the North Coast and established one of the best selected communities in Sahel, El Abd name became a synonymous to Sidi Heneish bay.
Guira, a master contractor &amp; home developers founded by Badawy family, who are an authority in engineering &amp; construction in Alexandria and North Coast.
J developments, a boutique high end development company by Ehab &amp; Waleed Mokhtar, a household name in West Cairo &amp; the creators of â€œFeel Goodâ€‌ neighborhood concept.</t>
  </si>
  <si>
    <t>190 sqm</t>
  </si>
  <si>
    <t>About Ramla â€“ North Coast, Ras El Hekma
Developed by Marakez, Ramla North Coast is a serene coastal retreat located at the 215th kilometer on the Alexandriaâ€“Marsa Matrouh Road (International Coastal Road) in Ras El Hekma, Egypt.
Ramla was designed as more than just a vacation destination â€” it's a vibrant, soulful place where families and friends can come together to celebrate life, nature, and connection. It offers a unique blend of simplicity and luxury, delivering an effortlessly relaxing atmosphere.
Prime Location
The location of Ramla Sahel was strategically selected for convenience and accessibility. Its central position places it near the regionâ€™s most iconic destinations and luxury developments:
Just 10 minutes from Caesar Ras El Hekma
20 minutes from Almaza Bay
45 minutes from Hacienda Red
This proximity ensures youâ€™re never far from the action â€” while still enjoying the calm, pristine environment Ramla offers.
Resort Highlights &amp; Amenities
Ramla delivers an exceptional coastal lifestyle through a wide range of facilities, including:
Expansive private beachfront with a variety of water and leisure activities
Lush, natural landscapes designed for relaxation and unwinding
Outdoor and wellness spaces built to inspire peace and tranquility
Family-friendly zones and entertainment options
Whether you're looking for adventure or a peaceful escape, Ramla North Coast seamlessly combines both.</t>
  </si>
  <si>
    <t>151 sqm</t>
  </si>
  <si>
    <t>ط´ط§ظ„ظٹظ‡ 241 ظ…طھط±
3 ط؛ط±ظپ   4 ط­ظ…ط§ظ…
ظ…ظ‚ط¯ظ… 7.200.000
ظ…طھط¨ظ‚ظٹ 7.200.000
ط§ط³طھظ„ط§ظ… 2025
طھطھظ…ظٹط² Direction White North Coast ط¨طھطµط§ظ…ظٹظ…ظ‡ط§ ط§ظ„ط¹طµط±ظٹط© ط§ظ„طھظٹ ط§ظ…طھط²ط¬طھ ظ…ط¹ ط§ظ„ط·ط¨ظٹط¹ط© ط§ظ„ط³ط§ط­ط±ط© ط¨ط·ط±ظٹظ‚ط© ظ…طھط¬ط§ظ†ط³ط©طŒ ظˆطھط¶ظ… ط§ظ„ظ‚ط±ظٹط© ظˆط­ط¯ط§طھ ط³ظƒظ†ظٹط© ظ…طھظ†ظˆط¹ط© ظˆظ…ط®طھظ„ظپط© ط§ظ„ظ…ط³ط§ط­ط§طھ ظƒظٹ طھطھظ†ط§ط³ط¨ ظ…ط¹ ط±ط؛ط¨ط§طھ ظ…ط®طھظ„ظپ ط§ظ„ط¹ظ…ظ„ط§ط،طŒ ظƒظ„ ظ‡ط°ط§ ط¨ط£ط³ط¹ط§ط± طھظ†ط§ظپط³ظٹط© ظ„ط§ ظٹظ…ظƒظ† ظ…ظ‚ط§ط±ظ†طھظ‡ط§ ط¨ط£ط³ط¹ط§ط± ط§ظ„ظ…ط´ط§ط±ظٹط¹ ط§ظ„ط£ط®ط±ظ‰.
ظٹظ…ظƒظ†ظƒ ط§ظٹط¶ط§ ط§ظ„ط§ط³طھط«ظ…ط§ط± ظپظ‰ ظˆط§ط­ط¯ط© ظ…ظ† ط£ظپط¶ظ„ ط§ظ„ظ…ط´ط§ط±ظٹط¹ ط§ظ„ط§ط³طھط«ظ…ط§ط±ظٹط© ظپظ‰ ط±ط§ط³ ط§ظ„ط­ظƒظ…ط©طŒ ظˆظ‡ظˆ ظ‚ط±ظٹط© ط³ظ…ط± ط±ط§ط³ ط§ظ„ط­ظƒظ…ط© ظ…ظ† طھط·ظˆظٹط± ط´ط±ظƒط© ط§ظ„ط§ظ‡ظ„ظٹ طµط¨ظˆط± ظˆط§ظ„طھظ‰ طھطھظ†ظˆط¹ ظˆط­ط¯طھظ‡ط§ ط§ظ„ظ…طµظٹظپظٹط© ط¨ط£ط³ط¹ط§ط± طھظ†ط§ظپط³ظٹط© ظˆط®ط·ط· ط³ط¯ط§ط¯ طھظ…طھط¯ ط§ظ„ظ‰ 9 ط³ظ†ظˆط§طھطŒ ط­ظٹط« ظٹط¶ظ…ظ† ظ„ظƒ ط¯ط®ظ„ ظ…ط§ط¯ظ‰ ط«ط§ط¨طھ ظ…ظ† ط®ظ„ط§ظ„ ط§ظٹط¬ط§ط± ط§ظ„ظˆط­ط¯ط© ط§ظˆ ط§ط¹ط§ط¯ط© ط¨ظٹط¹ظ‡ط§ ط¨ظپط¶ظ„ ط­ط±ظƒط© ط§ظ„ط³ظٹط§ط­ ط¹ظ„ظٹظ‡ط§.</t>
  </si>
  <si>
    <t>Direction White, Ras Al Hekma, North Coast</t>
  </si>
  <si>
    <t>241 sqm</t>
  </si>
  <si>
    <t>7,200,000 EGP</t>
  </si>
  <si>
    <t>2 bed prime location for sale in Sheikh Zayed, Village West compound.
The unit is 123 square meters with 2 bedrooms and 2 bathrooms.
offering a distinctive view of the landscape.
The price of the unit includes access to the club and parking.
The payment terms entail a 30% down payment and the remaining amount to be paid over 4 years.
The compound is located on Nuzha Street, in front of Hyper One (minutes away from Hyper One and Al Ahly Club).
The amenities within the compound include a mosque, parking, a commercial area, security, a sports club, restaurants, cafes, and aآ swimmingآ pool.</t>
  </si>
  <si>
    <t>Village West, Sheikh Zayed Compounds, Sheikh Zayed City, Giza</t>
  </si>
  <si>
    <t>Chalet for sale in Azha ras alhikma direct on lagoon fully finished + ACs &amp; kitchen in a prime location
Area : 107 SQM
Bedrooms : 2
Bathroom : 2
Fully finished + ACs &amp; kitchen cabinets - direct on crystal lagoon
Installments up to 10 years
for more details :
01220508402 - Omar El-Sherif
.</t>
  </si>
  <si>
    <t>107 sqm</t>
  </si>
  <si>
    <t>Chalet Prime Location in Hacienda West
Area:65, directly on the View from two sides
Prime location in the heart of North Coast , minutes from Allamein Airport and Ras el Hekma City
Consists of: 1 bedrooms - 1 bathrooms
Total :6100000
Downpayment : 3800000
For viewing and visiting the compound, call now: 01145402513
M.S-4062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 Devel</t>
  </si>
  <si>
    <t>Hacienda White, Sidi Abdel Rahman, North Coast</t>
  </si>
  <si>
    <t xml:space="preserve"> 65 sqm</t>
  </si>
  <si>
    <t>4-Bedroom Town House with Garden | 236 SQM | Crescent Walk â€“ New Cairo
__
Unit Details:
â€¢ Type: Town House
â€¢ Built-Up Area: 236 SQM
â€¢ 4 Bedrooms
â€¢ 5 Bathrooms
â€¢ Private Garden
â€¢ Fully Finished with Modern Contemporary Design
â€¢ Spacious Layout with Elegant Living Areas
__
Facilities &amp; Lifestyle at Crescent Walk:
â€¢ Clubhouse with community lounges
â€¢ Landscaped parkways &amp; green spaces
â€¢ Swimming pools &amp; leisure zones
â€¢ Kidsâ€™ play areas
â€¢ 24/7 private security &amp; professional maintenance
__
About the Developer â€“ Marakez:
Part of the Fawaz AlHokair Group, Marakez is a leading developer recognized for creating future-forward communities that blend quality, lifestyle, and prime locations.
__
Prime Location â€“ New Cairo:
â€¢ 7 mins from Golden Square
â€¢ 12 mins from AUC
â€¢ 14 mins from District 5
â€¢ Easy access to main roads &amp; essential services
__
For Price &amp; Viewing:
Aiah Ali
â€¢ 01212535070
â€¢ aya.el-sayed@egyptbestproperties.com</t>
  </si>
  <si>
    <t>236 sqm</t>
  </si>
  <si>
    <t>Ready-to-Move Apartment in the Heart of Old Zayed
A stunning apartment located in the heart of Old Sheikh Zayed.
â–ھï¸ڈ Pay only 10% down payment and spread the rest over 10 years
OR
â–ھï¸ڈ Pay EGP 2,750,000 in full and enjoy a special discount!
Apartment Details:
Bedrooms: 3
Bathrooms: 3
Reception: 3-piece
Balcony with open view of ZED Towers
Fully finished, ready-to-move units available
with up to 4-year installment plans.</t>
  </si>
  <si>
    <t>Elysium, Sheikh Zayed Compounds, Sheikh Zayed City, Giza</t>
  </si>
  <si>
    <t>180 sqm</t>
  </si>
  <si>
    <t>Looking for a premium apartment in a fully serviced compound in a prime Sheikh Zayed location?
We offer a 184 sqm apartment on a typical floor in one of the most vibrant areas of Old Zayed, surrounded by top compounds like Al Rabwa, Royal City, Cairo Gate by Emaar, and Village West by Dorra.
Apartment Features:
3 bedrooms (including a master with en-suite)
3 bathrooms
Spacious 3-piece reception area
Large kitchen
2 terraces with open landscape view
Excellent layout &amp; modern design
Prime Location:
Surrounded by major malls
Close to main roads: Mehwar, Desert Road &amp; Ring Road
Enjoy Full Hotel-Style Services:
Housekeeping &amp; laundry
Event/party hall
Outdoor gym &amp; jogging track
Kidsâ€™ area &amp; BBQ zone
Restaurants
Underground parking &amp; car wash
Concierge services: flight booking, doctor appointments, limousine service, and school transportation
Flexible payment plan:
Up to 10 years installments with no interest
Lowest down payment
Cash price available / installment price over 120 months
Contact us via phone or WhatsApp for full detaills</t>
  </si>
  <si>
    <t>Zayed Regency, Sheikh Zayed Compounds, Sheikh Zayed City, Giza</t>
  </si>
  <si>
    <t>Three Pyramids Project (Owner: ABTAL Real Estate Development)
The project is distinguished by its prime location in front of Hawaii Caesar Hotel and the Tourist Promenade, along with its complete hotel services, ensuring a secure investment and a residence that combines comfort and luxury.
__________________________________________________________
Unit Details:
Area: 60 sqm
View: Side Sea View
Finishing: Fully
Delivery Date: End of this year
__________________________________________________
Payment Plan:
Total Price: 1,814,400
Down Payment (40%): 725,760
Quarterly Installment: 136,080
Installment Duration: 24 months
"15% discount for cash payments
_______________________________________
Project Features:
Swimming Pools
Gym, Spa, and Green Relaxation Areas
Kids Play Area
Commercial and Touristic Mall within the Resort
24-Hour Security for your peace of mind
Modern Elevators
On-site Management and Maintenance Office
_________________________________________________
Prime Location:
First row on the Tourist Promenade
In front of Sunrise Hawaii Caesar Hotel
8 minutes from Universities and Schools
15 minutes from El Gouna
20 minutes from the International Airport
______________________________________________
For more information and inquiries:
Email: farah@abtalhurghada.com
___________________________________</t>
  </si>
  <si>
    <t>725,760 EGP</t>
  </si>
  <si>
    <t>A fully finished Three -bedroom apartment in Al Maqsad Park by City Edge Developments, in the New Administrative Capital.
Built-up Area: 139 square meters
Bedrooms: 3
Bathrooms: 2
Delivery Date: December 2025
Finishing: Fully finished
Payment Method:
Downpayment 5% over 5 years installment
Enjoy living in a luxurious residential compound featuring green spaces, premium amenities, and services, with easy access to the New Administrative Capital's most important landmarks.
===
*Internal Division:
The complex consists of several distinct residential areas, including:
Al Maqsad Residence
Avenue Walk
Al Maqsad Park
Neighborhood Walk
Manazil Walk
* Main Services and Facilities:
Spacious green spaces and landscapes
Jogging and cycling paths
Community center and recreational areas
Integrated commercial area with restaurants and cafes
Service centers within the complex
Fiber Internet services, IPTV, Triple Play system
24-hour security - CCTV - Video intercom
* Strategic Location:
Minutes from Ain Sokhna Road and Suez Road
Close to the capital's landmarks:
Capital Airport
Olympic City
Financial and Business District
Canadian and European Universities
Cultural and Educational City
Distances from the complex:
32 km from Cairo International Airport
45 km from downtown Cairo
55 km from Ain Sokhna</t>
  </si>
  <si>
    <t>Al Maqsad, New Capital Compounds, New Capital City, Cairo</t>
  </si>
  <si>
    <t>259,100 EGP</t>
  </si>
  <si>
    <t>Own your apartment in a prime location in Mostakbal City
â€¢ The compound is located in Mostakbal City, wall to wall with Madinaty.
â€¢ The compound is only 10 minutes away from the American University.
â€¢ The project is located near the New Administrative Capital, with a distance of about 5 minutes only.
Different payment plans available with installments up to 12 years
Unit layout:
â€¢ Area: 83sqm
â€¢ Number of bedrooms: 1
â€¢ Number of bathrooms: 1
â€¢ Reception
â€¢ Kitchen
â€¢ Terrace
Apartments for sale with installments in New Cairo
Apartments for sale with installments in Fifth Settlement
Apartments for sale in Sarai Compound
Apartments for sale in New Cairo with immediate delivery and installments
Apartments for sale in Mostakbal City with immediate delivery and installments
Apartments for sale in Fifth Settlement with installments
Apartments for sale in New Cairo with installments
Apartments for sale with immediate delivery and installments
Apartments for sale in Sarai Compound with installments</t>
  </si>
  <si>
    <t>Sarai, Mostakbal City Compounds, Mostakbal City - Future City, Cairo</t>
  </si>
  <si>
    <t xml:space="preserve"> 83 sqm</t>
  </si>
  <si>
    <t>Project : Marbay
Developer : Marasem
More Information : 01288736478
---------------------------------------------------------
Type Chalet 141 SQM
3 Bedrooms
3 bathrooms
Fully Finished + Ac's + Kitchen Cabinets
Direct Sea View
Open Terrace + Landscape
more Details : 01288736478
---------------------------------------------------------
Master Plan &amp; Major Facilities of Mar Bay Ras El Hekma
Marbay Ras El Hekma was artistically master-planned and perfectly designed, reflecting the brilliance of the developing company. The world-renowned designer BDP is the artist behind crafting the master plan of Mar Bay.
'''''''''''''''''''''''''''''''''''''''''''''''''''''''''''''''''''''''''''''''''''''''''''''''''''
In this master plan, Mar Bay North Coast covers 640 acres of land, with only 16% footprint, leaving out the remaining 84% for lush greenery and water bodies. Also, you can find 1250 meters of beachfront with 1.2 km of shoreline and 1200 meters of beachfront lagoons.</t>
  </si>
  <si>
    <t>Mar Bay, Ras Al Hekma, North Coast</t>
  </si>
  <si>
    <t>141 sqm</t>
  </si>
  <si>
    <t>850,000 EGP</t>
  </si>
  <si>
    <t>"Townhouse Prime Location Exclusive in MV Ras Elhikma
Area:170, directly on the View from two sides
Prime location in the heart of North Coast , minutes from Allamein Airport and Ras el Hekma City
Consists of: 3 bedrooms - 3 bathrooms
down payment :7800000
Total Price : 10300000
For viewing and visiting the compound, call now: 01145402513
M.S-5100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t>
  </si>
  <si>
    <t>Mountain View, Ras Al Hekma, North Coast</t>
  </si>
  <si>
    <t>Fully Finished Apartment with Garden for Sale in Fifth Square Compound â€“ Golden Square, in Front of Palm Hills, New Cairo (Developed by Al Marasem)
Location:
New Cairo â€“ Fifth Settlement â€“ Golden Square (Fifth Square by Al Marasem)
Unit Details:
â€¢ Built-up Area: 209 sqm
â€¢ Garden Area: 130 sqm
â€¢ 3 Bedrooms (including 1 Master)
â€¢ 3 Bathrooms
â€¢ Reception â€“ Kitchen â€“ Air Conditioners
â€¢ Luxuriously finished and ready to move
With a 7 million down payment and the remaining amount in long-term installments
â€¢ Clubhouse â€“ Fully equipped gym â€“ Kids' play areas
â€¢ Shopping malls and entertainment zones
â€¢ Designated areas for barbecues and gatherings
For inquiries: 01011007696</t>
  </si>
  <si>
    <t>Moon Residences, Fifth Square, The 5th Settlement, New Cairo City, Cairo</t>
  </si>
  <si>
    <t>209 sqm</t>
  </si>
  <si>
    <t>Pebthouse for sale in new Cairo delivery now fully finished in a prime location near to cairo airport
Area : 242 SQM + Roof
Bedrooms : 3
Bathrooms : 3
Fully finished - Delivery now - Prime location
Installments up to 10 years
for more details :
01220508402 - Omar El-Sherif
.</t>
  </si>
  <si>
    <t>Stoda, Sheraton Al Matar, El Nozha, Cairo</t>
  </si>
  <si>
    <t>245 sqm</t>
  </si>
  <si>
    <t>- Emaar
- Soul
- For more details: 01113322254
** Unit Details **
- Unit Type : Standalone
- Built-up Area : 281
- Number of Bedrooms : 4 + Nanny's Bedroom
- Number of Bathrooms: 4 + Nanny's Bathroom
- Fully Finished
Emaar Misr developed Sol North Coast Resort on a vast area of â€‹â€‹700 acres in Ras El Hekma. It boasts an ideal location, just a short distance from kilometer 178 of the International Coastal Road (Alexandria-Marsa Matrouh Road), and a short drive from Marassi Abdel Rahman, one of Emaar's coastal communities.
Sol Emaar features a comprehensive portfolio of destinations focused on fun and luxury, offering a wide range of delicious cloud-based experiences, entertainment specialties, luxurious waterfront shopping experiences, and Solo Head Boy Scout vacations from New York.
Sol North Coast's Main Beach
Emaar Misr has intelligently utilized every square meter of its 700-acre project through the masterplan of Sol North Coast. It has developed a pioneering coastal destination with panoramic views of the Mediterranean Sea and unparalleled political engagement.
Sol Emaar Resort is an attractive haven for tourists in Egypt's North Coast, where you can rejuvenate your mind and body. Its main detail explains the group of communities, which</t>
  </si>
  <si>
    <t>Soul North Coast, Qesm Ad Dabaah, North Coast</t>
  </si>
  <si>
    <t>800 sqm</t>
  </si>
  <si>
    <t>3,000,000 EGP</t>
  </si>
  <si>
    <t>Hurghada_Soma Bay
Villa For Sale Prime Location With Private Garden,Down Payment 5%
BUA : 122M
Plot 418 M
Garden 296M
2 bedrooms - 2 bathrooms- Reception-Terrace-Kitchen
Fully finished
Cash Discount 35%
First Installment After One Year
Down payment: Million
installment 7-year
For more Details : 01066699903
---------------------------------------
Bay West Soma Bay Master Plan and Facilities
Covered in lush landscapes and sparkling water bodies, the Bay West Soma Bay Neighborhood master plan was well crafted. Every house in the phase is surrounded by enchanting, scenic views.
BayWest Soma Bay perfectly blends luxury and magical natural elements. It is a tranquil backdrop on the Red Sea coast, where vacationers can destress, rejuvenate their bodies &amp; minds, and create memorable moments.
In addition to the picturesque elements, the Bay West Soma Bay master plan outlines a commercial area. Residents will find everything they need within walking distance from their coastal house.
The state-of-the-art commercial area of BayWest Somabay boasts a wide range of retail outlets, shops, restaurants, and cafes. It is an unmatched social and recreational hub in the neighborhood.
Furthermore, the developer implemented impeccable services in Bay West Valley to guarantee homeowners' utmost convenience. They include but are not limited to 24/7 security measures and maintenance services.
--------------------------------------
Real Estate for Sale in Soma Bay
Chalets for Sale in Soma Bay
3-Bedroom Houses and Villas for Sale in Soma Bay
Apartments for Sale in Soma Bay
4-Bedroom Houses and Villas for Sale in Soma Bay
Penthouses for Sale in Soma Bay
2-Bedroom Houses and Villas for Sale in Soma Bay
Duplexes for Sale in Soma Bay
Furnished Houses and Villas for Sale in Soma Bay
5-Bedroom Houses and Villas for Sale in Soma Bay</t>
  </si>
  <si>
    <t>Wadi Jebal, Soma Bay, Safaga, Hurghada, Red Sea</t>
  </si>
  <si>
    <t>122 sqm</t>
  </si>
  <si>
    <t>1,075,000 EGP</t>
  </si>
  <si>
    <t>A rare chance you donâ€™t wanna miss!!
Ultra-Luxury Units With EARLY DELIVERY, Insane SEA + LAGOON VIEWS , and SUPER Long Installment plans!!
Act fast before it's gone!!
Secure Your Spot Now \ 01279307130
____________________________________________________
Unit Details:
- 5 Bedrooms
- 5 Bathrooms
- Family Living Room
- Land : 670 Meter
- Large Garden
For More Details Contact Me / 01279307130
____________________________________________
You will find ramla on the pristine shores of Ras El Hekma bay at the heart of the North Coastâ€™s new happening destination. This stunning location encapsulates the calmest of seas and white sands stretching along a 1.4 kilometre beach. it is ideally situated on the 215th kilo of International Coastal Road
Next to Modon Ras El Hikma
20 Min away from Almaza Bay
10 Min away from Caesar
35 Min away from Hacienda Red
________________________________________________
Villa for sale in North Coast
cheap Chalet for sale
new Apartments for sale in North Coast
Your dream home in Ralma
Villas for sale in Ralma
2 bedrooms Apartment for sale in Ralma
property for sale in Ramla
Flat for sale in Ramla
Immediate Delivery
Special Prices</t>
  </si>
  <si>
    <t>670 sqm</t>
  </si>
  <si>
    <t>225mآ² fully furnished apartment for sale in a prime location.
3 bedrooms, including a master bedroom, 3 bathrooms, fully equipped kitchen, 2020 construction
Al-Mona Street
Cash sale: 8,000,000 pounds
Installment sale: 8,500,000, 50% down payment and the rest over a year Seafront
For more information, please contact: 01009175275
-------------------------------------------------------------------------------------
GUIDES REAL ESTATE (GRE)
Learn more about our company services.
Through us, you will deal with the largest number of real estate experts in Egypt.
Guides Provides Solutions Whether you are buying, selling, renting, investing, we offer you a quick and easy search experience and We support you with the information and advice you need to achieve your real estate goals.
Your new workplace or home should be distinctive and fulfill all your dreams, through flexible and cost-effective spaces, spaces designed to help you succeed and comfort in a privileged environment.</t>
  </si>
  <si>
    <t>Mohi Al Din Abou El Ezz St., Mohandessin, Giza</t>
  </si>
  <si>
    <t>225 sqm</t>
  </si>
  <si>
    <t>Detached villa for sale in Swan Lake Residence, Hassan Allam, First Settlement
With flexible payment plans over the longest payment period + prime location + (at a bargain price)
Land area: 374 square meters
Building area: 388 square meters
Total price: 55 million
Down payment: 41,844.40
Remaining balance: 13,155,600
For contact and viewing: 01020119965
Sales: Mostafa Hawari</t>
  </si>
  <si>
    <t>Swan Lake Residence, 5th Settlement Compounds, The 5th Settlement, New Cairo City, Cairo</t>
  </si>
  <si>
    <t>388 sqm</t>
  </si>
  <si>
    <t>Project Name: Jefaira
Developer: Inertia
For more details please contact:
+201225568120
=========
Unit details
Unit Type: Town House
Number Of Bedroom: 4
Number Of Bathroom: 5
-Reception
-Terrace
-Nanny's Room
-Fully Finished
===========
Project Location:
Jefaira North Coast Resort is:
-35 km away from Ras El Hekmaâ€™s coastline.
-65 km away from Al Alamein Hotel.
-170 km away from Borg El Arab International Airport.
-200 km away from Alexandria.
-300 km away from Cairo.
==========
About Jefaira :
Extending over an impressive 5.5 million square meters in Ras El Hekma, Jefaira North Coast Resort is one of the finest developments by Inertia Egypt. It is a year-round coastal destination, exhibiting a broad array of distinguishing amenities. Vacationers get to experience the comfort and luxury of city life within a flawless beach gateway.
Inertia Egypt crafted the master plan of Jefaira Ras El Hekma to preserve the areaâ€™s natural topography. It outlines a wide range of natural elements, lavish beach houses, and the finest facilities. It is a self-sustained community where its residents can live, work, escape the hassle of the city, and rejuvenate.
The location of Jefaira North Coast was smartly picked, specifically on the 190th km of Alexandria - Marsa Matrouh Road. It is close to other elite resorts as well in Ras El Hekma.
For more details please contact:
+201225568120</t>
  </si>
  <si>
    <t>Jefaira, Ras Al Hekma, North Coast</t>
  </si>
  <si>
    <t>335 sqm</t>
  </si>
  <si>
    <t>Townhouse Middle in The Med
Area:187 , directly on the View from two sides
Prime location in the heart of North Coast , minutes from Allamein Airport and Ras el Hekma
Consists of: 4 bedrooms - 4 bathrooms
with a 5% down payment + equal installments over 9 years without interest
For viewing and visiting the compound, call now: 01145402513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t>
  </si>
  <si>
    <t>Own your fully finished town house and live in it with a down payment and the rest paid in installments. Fixed and liveable.
3-bedroom
155 square meters.
Master bedroom with bathroom.
Two bedrooms.
bathroom
Reception.
Closed kitchen.
Very prime view
===================
payment plan
starting 0% dp to intsallment long time
=============
Project Location
In the Fifth Settlement, at the end of the Southern 90th Street, after the American University, in front of Hyde Park
20 minutes from the Suez Road
25 minutes from the Maadi Ring Road
10 minutes from the Northern 90th Street
========================
24-hour security and surveillance cameras
A fully integrated and fully occupied compound
Fountain View
Housekeeping
Private garage
Shopping mall</t>
  </si>
  <si>
    <t>155 sqm</t>
  </si>
  <si>
    <t>With Down payment 1 million and 800 thousands Own your Ready To Move Fully Finished Apartment at  Badya In 6th Of October City By Palm Hills Developments......
Apartment 195 sqm
3 Bedrooms-4 Bathrooms
Ready To Move....
Down Payment 10% only and the rest over years....
*Location  of Badya
The location of Badya was wisely chosen to reflect brilliance and convenience. The city of Badya is located in the 6th of October City on the Oasis Road bridging the gap between East and West Cairo and overlooking the Great Pyramids of Giza, the New Egyptian National Museum, Juhayna Square, and the new Sphinx Airport.
Badya is a well-connected city, within a city giving you unprecedented access.
*This location makes Badya:
Only 15 minutes away from the October center
30 km away from Cairoâ€™s center
Easily accessible from 4 main roads are the 26th of July corridor, Al Wahat Road, Zowail Road, and Al Daery Al Awsaty Ring Road
-25 minutes away from  Mall of Egypt
-25 minutes away from Palm Hills October
-25 minutes away from The Great Pyramids
-25 minutes away from the Grand Egyptian Museum
-35 minutes away from The Sphinx Airport
-45 minutes away from New Cairo
-50 minutes away from The New Capital
For more details please contact us....</t>
  </si>
  <si>
    <t>Developer : ORA
Project Name : Silver Sands
For more details please contact :
+201225568120
=============
Unit details
Unit Type : Chalet
Number Of Bedroom : 1
Number Of Bathroom : 2
-Reception
-Terrace
-Fully Finished
===========
About Silversands
Silver Sands in Sidi Heneish, North Coast is an artwork by Ora Developers rolling over 506 acres (2,112,600 SQM) of land. The project is created to be a summer resort, an easy-peasy weekend destination, and an all-year-season gateway.
The project is created to be â€œ the Egyptian rendition of Grenadaâ€™s Silversands with the essence of Caribbean luxury lifestyle livingâ€‌. This is clearly seen in every element of Silver Sands North Coast including its endless amenities, prime location, and premium properties.
==========
The location of Silversands was carefully chosen in Sidi Heneish to complete the symphony of comfort embedded in the project. You can find Silver Sands on the 243rd km of Alexandria - Marsa Matrouh Road (also known as the International Coastal Road).
The prime Silver Sands location is right between Hacienda Heneish and Almaza Bay, making it:
138 km away from Alamein
202 km away from Borg Al Arab
220 km away from Alexandria
360 km away from Cairo
For more details please contact:
+201225568120</t>
  </si>
  <si>
    <t>Silver Sands, Qesm Marsa Matrouh, North Coast</t>
  </si>
  <si>
    <t xml:space="preserve"> 86 sqm</t>
  </si>
  <si>
    <t>Penthouse for Sale in Somabay â€“ Prime Location
3 Bedrooms | 188 sqm BUA | Fully Finished | Lagoon View
For more details, contact:
Mahy Assem | 01220514187
Unit Details:
Built-up Area: 188 sqm
Bedrooms: 3
Finishing: Fully Finished
View: Lagoon View
About Somabay:
Somabay is one of the Red Seaâ€™s most exclusive destinations, combining natural beauty with world-class facilities. Perfectly located:
54 km south of Hurghada (approx. 50 minutes).
15 km north of Safaga (approx. 22 minutes).
156 km from Sharm El Sheikh (accessible by car or bus).
45 km from Hurghada International Airport.
Amenities &amp; Facilities:
Exclusive Clubhouse &amp; Social Areas
Swimming Pools &amp; Kidsâ€™ Pools
Childrenâ€™s Play Areas
Retail Zone with Shops &amp; Cafأ©s
Wellness &amp; Fitness Centers
Jogging &amp; Cycling Tracks
For inquiries &amp; bookings:
Mahy Assem | 01220514187</t>
  </si>
  <si>
    <t>Blanca Gardens, Soma Bay, Safaga, Hurghada, Red Sea</t>
  </si>
  <si>
    <t>188 sqm</t>
  </si>
  <si>
    <t>965,000 EGP</t>
  </si>
  <si>
    <t>Receive your unit in Taj City Compound, Fifth Settlement, in front of the airport
Apartment area: 156 square meters
3-bedrooms (master bedroom)
2-Bathroom
-Reception
-Terrace with a distinctive view
Distinctive payment systems:
-With a down payment of one million and installments up to 8 years
-Without down payment and without interest, in installments over 10 years.
-20% down payment and the rest in installments over 6 years at a 20% discount.
Services in Taj City New Cairo Compound:
- Strategic location, access to 90th Street in the assembly in 6 minutes.
- Cairo Airport is 10 minutes away.
-An integrated security system that guarantees 24-hour security and the presence of surveillance cameras everywhere.
- Sports fields equipped with the latest equipment to play various games for adults and children.
-Commercial centers and malls featuring the most famous international and local brands for an enjoyable shopping experience.
-The landscape is spread everywhere, as green spaces occupy a large percentage of the compoundâ€™s area.
- International schools at all educational levels.
-Origami has a commercial area of â€‹â€‹200 acres.</t>
  </si>
  <si>
    <t>With down payment 1,200,000 only own your Fully Finished Chalet with Private Garden at Hacienda Blue in Al Dabaa by Palm Hills Developments.......
Chalet 116 sqm
3 Bedrooms-3 Bathrooms-Private Garden
Very Prime Location
With Down payment 5% and the rest over 10 years....
*Hacienda Blue North Coast Location
-Hacienda Blue by Palm Hills has an ideal location on the 165th kilo of Alexandria - Matrouh Road in Ras El Hekma, North Coast. This prime location is across from Al Dabaa Road and puts you in close proximity to various other high-end destinations.
-In fact, Hacienda Blue North Coast is only 28 kilos from Alamein Airport and a short drive away from:
-South Med
-D Bay
-D.O.S.E
-Seazen Nort Coast
-La Vista Bay East
For more details please contact us.....</t>
  </si>
  <si>
    <t>116 sqm</t>
  </si>
  <si>
    <t>wn your unit in the heart of Sheikh Zayed
With payment facilities over 10 years
Ivory Compound
Lowest down payment and longest repayment period
There are additional installments
Unit Details:
Area: 164 sqm
3 bedrooms, 2 bathrooms
3-piece reception
Location:
The compound enjoys a prime location in the heart of Sheikh Zayed,
Close to 26th of July Axis
Near Itaba Compound
Close to the Cairo-Alexandria Desert Road
Amenities:
Green spaces
Water features
Swimming pools
Childrenâ€™s play areas
BBQ and relaxation areas
Commercial mall
Clubhouse
Private garage</t>
  </si>
  <si>
    <t>159 sqm</t>
  </si>
  <si>
    <t>Hot Deal Studio for Sale in Noor City â€“ Talaat Moustafa Group
Area: 67 sqm
Reservation Date: September 2023
Floor: Typical
Location: Very close to all services
Total Contract Value: EGP 2,900,000
Payment Plan: Installments over 13 years
Monthly Installment: EGP 7,685 only
Annual Lump-Sum Installment: One payment in October each year
Paid Amount: Around EGP 400,000
Premium (Over Price): EGP 650,000
An excellent opportunity for investment or living in Egyptâ€™s first fully integrated smart city.
For inquiries: 01125555840</t>
  </si>
  <si>
    <t>Noor City, Cairo</t>
  </si>
  <si>
    <t xml:space="preserve"> 67 sqm</t>
  </si>
  <si>
    <t>1,100,000 EGP</t>
  </si>
  <si>
    <t>For sale chalet in D- Bay North Coast
D-Bay | Tatweer Misr
- Prime location , lagoon view
- Area 100 sqm + 122 sqm
2 bedrooms - 2 bathrooms
- Delivery 2026
- Fully finished
- down payment:  6,200,000 EGP
- Remaining installments: 2,258,000 until 2029
D Bay North Coast Location
The DBay village is on the 165th kilo of Alexandria - Marsa Matrouh Desert Road, easily accessible through many other roads like the Dabaa Road and the Fouka Road. Only 15 minutes away from Sidi Abdelrahman, D Bay North Coast location is in close proximity to various popular destinations. Including Telal, Hacienda, La Vista Bay, Marassi and Fouka Bay.
About D-Bay
Unique Selling Points of D-Bay North Coast
Leveling
D Bay took advantage of the natural topography of the area and placed its properties on different levels, giving them all a mesmerizing view of the sea, the lagoons and the green landscapes.
Lagoons
The coastal village features a number of swimmable lagoons, placed in every level. To give all residents a picturesque view and an easy access to a quick dip in the water.
Angular Architecture
The properties in D Bay North Coast have a unique exterior design with angular architecture. This allows the properties to have the maximum amount of fresh air and sunlight in.
About D Bay North Coast
D Bay is a coastal village spread across 200 acres of land in the North Coast. Developed by the real estate leader, Tatweer Misr, D-Bay North Coast is where aesthetics and culture intersect with functionality and convenience.
On a mission to reshape your summer vacation, D Bay has an 800 meter beachfront, various swimmable lagoons and a wide array of world-class amenities.</t>
  </si>
  <si>
    <t>D-Bay, Qesm Ad Dabaah, North Coast</t>
  </si>
  <si>
    <t>Spacious 175mآ² Apartment with Flexible Payment Plan!
BUA: 175 sqm
Bedrooms: 3 (including master with en-suite)
Bathrooms: 3 (including guest toilet)
Reception: 8.80 أ— 3.80
Kitchen: 3.00 أ— 2.85
3 Terraces with open views
Condition: Super Lux Finished
Total Price: 4,500,000 EGP
Remaining Balance: 2,300,000 EGP
Installment Plan: 5 Years
Quarterly Installment: 98,250 EGP
Perfect layout for families
Located in a prime residential compound
Great for both living &amp; investment
Secure this opportunity now before prices go up!
Contact us for viewing or more info.</t>
  </si>
  <si>
    <t>175 sqm</t>
  </si>
  <si>
    <t>Arabia Developments provided the modern lifestyle and all the elements of modern life that residents dream of, so they chose the location of the compound in strategic place in Sheikh Zayed.
Town House For Sale In Elora Compound :
214 meters
3 rooms
3 bathrooms
Reception
Kitchen
Terrace
Garden
Roof
nanny room
5% down payment, installments up to 9 years
For reservations and inquiries, contact us on WhatsApp or call: 01008506942
-----------------------------------------------------------------
location:
- 3 minutes from Sphinx Airport.
- 5 minutes from Waslt Dahshour.
- 15 minutes from Mall of Arabia.
-----------------------------------------------------------------
The project area is 227 acres
Commercial and administrative area: 34 acres
Construction rate 18%
The percentage of green spaces is 82%
________________________________________________________________
Elora Compound Services:
- Green spaces
- Health club
- A commercial area on an area of â€‹â€‹34 acres
- Security guard 24 hours
- Places designated for children
- swimming pool
- security cameras
- Track for running
- Private garages
- Electronic portals
- Regular maintenance team</t>
  </si>
  <si>
    <t>Elora, New Zayed City, Sheikh Zayed City, Giza</t>
  </si>
  <si>
    <t>214 sqm</t>
  </si>
  <si>
    <t>820,000 EGP</t>
  </si>
  <si>
    <t>town house for sale in North Coast - Mountain View RAS EL HEKMA
BUA : 125 sqm
land: 170 sqm
Fully Finished
sale price : 25.650.000 EGP
down payment : 3.200.000 EGP
installment 7 years
Contains of : 3 Bedrooms + 4 Bathrooms-living
delivery :2027
=========================
Strategic Location of the Mountain View Ras El Hikma Project
Mountain View has the most beautiful views of the northern coast in the Ras El Hikma region, at 200 kilometers, which is a wonderful sea bay that enjoys the most beautiful sandy beaches and enjoyable water activities on its clear blue waters such as swimming, snorkeling and water games.
Ras El-Hikma area is a privileged location for easy access from it to Alexandria, Cairo and Marsa Matrouh, as a result of its connection to several major roads such as the Cairo-Alexandria Road, Wadi El-Natrun Road, El-Dabaa Road, and the new Fouka Road - one of the main roads - to the North Coast.
Mountain View Compound is close to the Sidi Abdel Rahman area, which makes it 50 km away from El Alamein Airport, 90 kilometers from Row Marina Village, and 3 hours from Greater Cairo and Burj Al Arab Airport.
========================
Properties for sale in Mountain View
Villas for sale in Mountain View
Townhouses for sale in Mountain View
Penthouses for sale in Mountain View
Duplexes for sale in Mountain View</t>
  </si>
  <si>
    <t>June
Own Your Chalet With Garden with only 5% DP !!!!!!
---------------------------------------------------------------------------
Unit Details
2 bedrooms
2 bathrooms
terrace
reception
--------------------------------------------------------------------------
June is a gated coastal town in Ras El Hekma brought to you by SODIC, one of Egypt's top real estate developers. June is located 192 kilometres from Alexandria on a 300 acre plot with 650 metre beach front. It includes a whopping 25 acres of swimming pools and lagoons as well as a 4 acre clubhouse.</t>
  </si>
  <si>
    <t>June, Ras Al Hekma, North Coast</t>
  </si>
  <si>
    <t>250 sqm</t>
  </si>
  <si>
    <t>Nour - TMG
Town house corner
Semi finished
Without over price
Prime location
Open landscape view
3 bedrooms
3 bathrooms
BUA 207 sqm
Land 325 sqm
Total price 27.315.000
Down payment 3.500.000
About Noor Capital Gardens
Noor Capital Gardens is the first integrated smart city in the New Administrative Capital by Talaat Moustafa Group (TMG).
The Noor Capital Gardens Compound is not only an upscale residential community with a wide variety of opulent properties, rather, Noor TMG sets a model for top-notch smart cities worldwide.
Noor Compound is considered one of the first smart cities that preserves sustainability and eco-friendly means in the New Capital City.</t>
  </si>
  <si>
    <t>207 sqm</t>
  </si>
  <si>
    <t>3,500,000 EGP</t>
  </si>
  <si>
    <t>Chalet for Sale with Full Sea View in a Prime Location â€“ Hacienda Heneish by Palm Hills
Developer: Palm Hills Developments
Unit Type: Chalet
---
Unit Details:
* 2 Bedrooms + Nannyâ€™s Room with En-suite Bathroom
* 2 Bathrooms
* Spacious Reception and Family Living Area
* Fully Finished with Air Conditioners and Kitchen Cabinets
* Panoramic Views of Lagoon and Green Landscapes
* Full Sea View
* Bahary Orientation (North Facing)
* Prime Location Within the Project
---
**For More Information, Please Call:**
01202738533
---
### **About Hacienda Heneish â€“ North Coast**
Hacienda Heneish is a premium resort developed by Palm Hills on the North Coast, located at kilometer 247 on the Alexandriaâ€“Marsa Matrouh Road, just a short drive from Marsa Matrouh Airport.
The project spans 420 acres and offers a peaceful, upscale beachside experience. The resort features a wide variety of luxury units with diverse designs and price ranges, as well as a wide range of services and amenities for residents.
---
### **Master Plan Highlights:**
* 420 Acres of Master-Planned Space
* Extensive Landscapes, Greenery, and Water Features
* Private Beach
* Glistening Lagoons and Swimming Pools
* Family-Friendly Environment
* Limited Built-Up Area to Maximize Open Space and Privacy
---
This is an ideal opportunity for buyers seeking a luxurious summer retreat or a smart investment in one of the North Coastâ€™s most prestigious developments.
**#PalmHills #HaciendaHeneish #NorthCoast #ChaletForSale #SeaView**
--</t>
  </si>
  <si>
    <t>Hacienda Heneish, Qesm Marsa Matrouh, North Coast</t>
  </si>
  <si>
    <t>110 sqm</t>
  </si>
  <si>
    <t>600,000 EGP</t>
  </si>
  <si>
    <t>Lake View2 - El Hazek
Apartment For Sale With Installments
BUA : 181 M
3 Bedrooms
3 Bathrooms
Maids Room
Core &amp; Shell
Delivery 2026
Down Payment : 5,241,650
Total Price : 15,689,250
Including Maintenance &amp; Parking
About Insider
With our unique contemporary style and total passion for connecting people with property , we aspire to provide the ultimate real estate experience for todayâ€™s modern consumer. We are not confined by traditional real estate boundaries when it comes to buying, selling, renting or asset management, instead we are always finding new and innovative ways to satisfy our clientsâ€™ needs and be at the forefront of the Egyptian property market.
Insider is one of the most real estate agencies
Based on our years of market experience, we are able to provide you with information.
Our Core Values are The Foundation of Our Business and Divisions
â€¢ Provide Quality of Service
â€¢ Building Confidence With Loss is a Milestone in The End.</t>
  </si>
  <si>
    <t>181 sqm</t>
  </si>
  <si>
    <t>5,241,650 EGP</t>
  </si>
  <si>
    <t>Chalet Prime Location Exclusive in Shamasi
Area:130, directly on the View from two sides
Prime location in the heart of North Coast , minutes from Allamein Airport and Ras el Hekma City
Consists of: 3 bedrooms -3 bathrooms
For viewing and visiting the compound, call now: 01145402513
F.F-4227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 Developers a</t>
  </si>
  <si>
    <t>Shamasy, Sidi Abdel Rahman, North Coast</t>
  </si>
  <si>
    <t>ط´ظ‚ط©  ط§ط±ط¶ظٹ ط¨ط¬ط§ط±ط¯ظ†   ظ„ظ„ط¨ظٹط¹ ط§ط³طھظ„ط§ظ… ظپظˆط±ظٹ ظ…طھط´ط·ط¨ظ‡ ط¬ط§ظ‡ط²ظ‡ ظ„ظ„طھط³ظ„ظٹظ…  ظپظٹ ط§ظ„ط¹ط§طµظ…ظ‡ ط§ظ„ط¥ط¯ط§ط±ظٹط© R8 ظˆط§ظ‚ط³ط§ط· ط¹ظ„ظٹ ط§ط·ظˆظ„ ظپطھط±ظ‡ ط³ط¯ط§ط¯
*ظ…ظˆظ‚ط¹ ظ…ط«ط§ظ„ظٹ:*
*طھظپط§طµظٹظ„ ط§ظ„ظˆط­ط¯ط©:*
- *ط§ظ„ظ…ط³ط§ط­ط©:*
- 120 +35 ط¬ط§ط±ط¯ظ†
-
2ط؛ط±ظپ
2 ط­ظ…ط§ظ…
ظ…ط·ط¨ط®
ط±ظٹط³ط¨ط´ظٹظ†
- **ط­ط§ظ„ط© ط§ظ„طھط´ط·ظٹط¨ ::
-
_* ظ…طھط´ط·ط¨ظ‡
_ *طŒط§ظ„ط¯ظˆط±*
- ط§ط±ط¶ظٹ
_ظ…ط¨ط§ظ†ظٹ ط­ط¯ظٹط«ظ‡
ط§ط³طھظ„ط§ظ…
ظپظˆط±ظٹ
طھظپط§طµظٹظ„ ط§ظ„ط¯ظپط¹
ط§ظ„ط³ط¹ط±:- 6.549.828
ظ…ظ‚ط¯ظ… 10ظھ
654.983
ظˆط§ظ„ط¨ط§ظ‚ظٹ ط¹ 6 ط³ظ†ظˆط§طھ
ظˆظ…طھط§ط­ ط§ظ‚ط³ط§ط· ظ„ط­ط¯ 6 ط³ظ†ظ‡
ظˆظٹظˆط¬ط¯ ظ„ط¯ظٹظ†ط§ ظˆط­ط¯ط§طھ ط§ط®ط±ظٹ
ظˆظ‡ظˆ ط¹ط±ط¶ طھظ†ط§ظپط³ظٹ ظپظٹ ط§ظ„ط³ظˆظ‚ ط§ظ„ط¹ظ‚ط§ط±ظٹ
*ظƒظˆط¯ ط§ظ„ظˆط­ط¯ط© :
ظ„ط§ طھظپظˆطھ ظ‡ط°ظ‡ ط§ظ„ظپط±طµط© ط§ظ„ط°ظ‡ط¨ظٹط©!طھظˆط§طµظ„ ظ…ط¹ظ†ط§ ط§ظ„ظٹظˆظ… ظ„طھط±طھظٹط¨ ط²ظٹط§ط±ط© ط£ظˆ ظ„ظ…ط²ظٹط¯ ظ…ظ† ط§ظ„ظ…ط¹ظ„ظˆظ…ط§طھ
_________
طھظˆط§طµظ„ ظ…ط¹ط§ظ†ط§ط§
ط§ظ„ظˆظƒظٹظ„ ط§ظ„ط¹ظ‚ط§ط±ظٹ : ط§ظ…ظٹط±ظ‡ ط§ظ„ظ†ط¬ط§ط±
ظˆط§طھط³ط§ط¨ :01062309555
ظ…ظ‚ط± ط§ظ„ط´ط±ظƒط© م€ٹ ط§ظ„ط¹ط§طµظ…ط© ط§ظ„ط¥ط¯ط§ط±ظٹط© ط§ظ„ط¬ط¯ظٹط¯ط© _ظ…ظˆظ„ ط¬ط±ط§ظ†ط¯ ط³ظƒظˆظٹط± م€‹
**ظٹظˆط¬ط¯ ظ„ط¯ظٹظ†ط§ ظپط±ظˆط¹ ط§ط®ط±ظٹ ظپظٹ ط¬ظ…ظٹط¹  ط£ظ†ط­ط§ط، ط§ظ„ط¬ظ…ظ‡ظˆظٹط©</t>
  </si>
  <si>
    <t>Ramatan, New Capital Compounds, New Capital City, Cairo</t>
  </si>
  <si>
    <t>120 sqm</t>
  </si>
  <si>
    <t>654,983 EGP</t>
  </si>
  <si>
    <t>atlantis â€“ where your story of endless luxury begins
if you dream of a lifestyle that blends a prime location. contemporary design. and complete amenities. atlantis is your perfect destination for luxury living and smart investment.
unmatched strategic location:
nestled in the heart of hurghada. right next to al dau heights and steps away from the tourist promenade. the marina. and senzo mall â€“ everything you need is right at your doorstep.
project highlights:
elegant architecture with super deluxe finishing
a variety of swimming pools and landscaped green spaces for ultimate relaxation
24/7 security and state-of-the-art surveillance systems
upscale restaurants. cafأ©s. a supermarket. and a fully equipped gym within the compound
open views that continuously enhance your investment value
flexible payment options to suit your lifestyle:
phase 1: 15% down payment + up to 5 years installment â€“ delivery in 2026
phase 2: 15% down payment + up to 6 years installment â€“ delivery in 2027
whether youâ€™re looking for a sophisticated home or a secure investment with guaranteed returns. atlantis is your ideal choice for a complete lifestyle of distinction and added value.
contact us today to reserve your unit and start living the life you deserve before the limited units sell out!</t>
  </si>
  <si>
    <t>Al Dau Heights, Youssef Afifi Road, Hurghada, Red Sea</t>
  </si>
  <si>
    <t>468,451 EGP</t>
  </si>
  <si>
    <t>Developer : Talaat Mostafa
Project : South Med
Destination : Al Da'baa
------------------------------
South Med
Direct on Marsa
3 Beds
156  Meters
Total price : 28M
Paid : 4M
Over : 2M
Typical Floor
12 Years Installments
----------------------------------
#Properties for sale in South Med
#2 bedroom Chalets for sale in South Med
#3 bedroom Chalets for sale in South Med
#Villas for sale in South Med
#1 bedroom Chalets for sale in South Med
#Apartments for sale in South Med
#Twin Houses for sale in South Med
#Penthouses for sale in South Med</t>
  </si>
  <si>
    <t>South Med, Qesm Ad Dabaah, North Coast</t>
  </si>
  <si>
    <t>156 sqm</t>
  </si>
  <si>
    <t>15 EGP</t>
  </si>
  <si>
    <t>MOUNTAIN VIEW DEVELOPMENT
CRYSTA
NEW PROJECT IN SIDI ABD EL RAHMAN
LAUNCH PHASE ONE
ALL TYPES FULLY FINISHED
01201658296 FOR MORE INFO
UNIT DETALES : chalet
110 m
2 bedrooms
2 bathrooms
kitchen
reception
Kilo 120 Bay (Beach) Crysta town (commercial) 470 feddans 35 feddans swimmable lagoons 3 boutique Hotels Crysta walk (85 feddan) Nearest to the Beach Crysta islands (150 feddan) 5 islands Lagoons view Swimmable lagoons Pearl Town houses &amp; SA only Floating restaurant Swimmable lagoons</t>
  </si>
  <si>
    <t>Plage, Sidi Abdel Rahman, North Coast</t>
  </si>
  <si>
    <t>400,000 EGP</t>
  </si>
  <si>
    <t>Apartment for Sale in New Cairo
Unit Details:
Area: 78sqm
Bedrooms: 1
Bathrooms: 2
Reception / Kitchen / Terrace
roof:23sqm
Location: Hyde Park, New Cairo
Contact: 01200070052
About the Project:
Hyde Park New Cairo is a fully integrated residential project developed by Hyde Park Developments. Spanning over 6 million square meters, the compound features a diverse range of world-class residential units, surrounded by endless green landscapes and scenic lakes.
Strategic Location:
The compound is carefully located in the heart of the vibrant Fifth Settlement in New Cairo, near the vital 90 Street, the Ring Road, and just a few kilometers from the American University in Cairo. It is only 20 minutes from Cairo International Airport and close to the New Administrative Capital.
Key Features:
Central Park:
A standout feature is the 600,000 sqm central parkâ€”one of the largest in New Cairoâ€”offering a healthy, green environment with scenic walking and jogging paths.
Business District:
Hyde Park includes a prestigious commercial area set to become the cityâ€™s main business hub.
Retail Zone:
A massive 130,000 sqm shopping area with over 1,000 sqm of retail space for major brands and versatile stores.
Sports Club:
A large sports club spread across 168,000 sqm, offering a variety of athletic and recreational facilities for both children and adults, including courts for all sports.</t>
  </si>
  <si>
    <t>Hyde Park, 5th Settlement Compounds, The 5th Settlement, New Cairo City, Cairo</t>
  </si>
  <si>
    <t>RAMLA BY MARAKEZ
_________________________________________________________________________________________________________
Own Your Finished Villa With Sea View And 39% Discount On Cash
_________________________________________________________________________________________________________
UNIE DETAILS:
BUA 400 SQM
3 BEDROOMS
4 BATHROOMS
SEA VIEW
FULLY FINISHED
LAGOONVIEW
BEACHES
WATER SPORTS
PRIME LOCATION
_________________________________________________________________________________________________________
FOR MORE INFORMATION: 01225568934
FOR MORE INFO: 01225568934
______________________________________________________________________________________________________
Marakez developed the Ramla North Coast Resort in Ras El Hekma, Egypt, specifically on the 215th km of Alexandria - Marsa Matrouh Road (International Coastal Road). Established to be a place where everyone can celebrate life, Ramla El Sahel offers a simple yet soulful experience.
The developer implemented a broad array of amenities in the Ramla North Coast Project, from a wide beachfront with a myriad of activities to crafting a natural paradise where vacationers get to unwind, relax, and enjoy a great outdoor experience.</t>
  </si>
  <si>
    <t>Ground Corner apartment with Garden
Ivoire East
BUA: 126 mآ²
Garden: 80 mآ²
2 Bedrooms
3 Bathrooms
Delivery 2028
Down Payment: 2,435,000 EGP
Total price: 11,685,000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</si>
  <si>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Ivoire East, 5th Settlement Compounds, The 5th Settlement, New Cairo City, Cairo</t>
  </si>
  <si>
    <t>2,435,000 EGP</t>
  </si>
  <si>
    <t>Fully Finished Apartment in Swan Lake Residences â€“ Hassan Allam
Location: Swan Lake Residences, First Settlement â€“ New Cairo, near El Yasmeen and El Banafseg neighborhoods
Developer: Hassan Allam
Phase: Phoenix
Unit Type: Apartment â€“ First Floor
Built-Up Area: 93 sqm
Layout:
1 Bedroom + Study Room
1 Bathroom
Finishing: Fully Finished
Delivery Date: 2027
For more details or to schedule a viewing, please contact:
00201202048220
Key Features &amp; Services at Swan Lake Residences â€“ Hassan Allam:
Swan Lake Residences offers a premium living experience in New Cairo with outstanding services and facilities, including:
Private underground parking for each residential building
Safe and engaging play areas for children
Dedicated pedestrian and cycling lanes, fully separated from vehicle roads
A large social club featuring multiple sports courts and recreational activities
A fully equipped medical center with various specialties and state-of-the-art equipment
Covered swimming pools exclusively for women, ensuring privacy and comfort
Beautiful artificial lakes, fountains, and wide water features integrated with green landscapes for a calming atmosphere
Advanced 24/7 security systems with the latest surveillance technology</t>
  </si>
  <si>
    <t xml:space="preserve"> 93 sqm</t>
  </si>
  <si>
    <t>663,670 EGP</t>
  </si>
  <si>
    <t>.                                             MARSA BAGHUSH
CHALET DETAILS:
BUA 155 SQM
3 BEDROOM
3 BATHROOM
FULLY FINISHED
SEA VIEW
PRIME LOCATION
HOTELS
____________________________________________________________
FOR MORE INFORMATIONS : 01202050322
FOR MORE INFORMATIONS : 01202050322
____________________________________________________________
These elegant units are right on the shores of the coast offering a limited number of separate villas with features catering to your leisure. A unique raw design that features a horizon infinity pool that merges with the sea as well as a garden level. It is the first three rows of Marsa Baghush although our largest and front facing units, a clever design ensures privacy is absolutely maintain                                                                                                                                                                                                                                                                                                                                                                                                                                                            .</t>
  </si>
  <si>
    <t>â€œط¯ظ„ظˆظ‚طھظٹ ظپط±طµطھظƒ طھظ…طھظ„ظƒ ط´ظ‚طھظƒ ظپظٹ ظ‚ظ„ط¨ ط§ظ„ظ…ط¹ط§ط¯ظٹ ط¹ظ„ظ‰ ط§ظ„ط¯ط§ط¦ط±ظٹ ظ…ط¨ط§ط´ط±ط© ظپظٹ ط¨ط§ظپط§ط±ظٹط§ طھط§ظˆظ† â€“ ظ…ط¹ظ…ط§ط± ط§ظ„ظ…ط±ط´ط¯ظٹ.
ط¨ظ…ظ‚ط¯ظ… ظٹط¨ط¯ط£ ظ…ظ† 15% ظپظ‚ط·طŒ ظˆ10% ظˆط¯ظٹط¹ط© طµظٹط§ظ†ط©طŒ ظˆط§ظ„ط¨ط§ظ‚ظٹ ط¹ظ„ظ‰ ط£ظ‚ط³ط§ط· ظ…ط±ظٹط­ط© طھطµظ„ ظ„ظ€ 6 ط³ظ†ظˆط§طھ.
ط§ط³طھط«ظ…ط± ظپظٹ ظ…ظˆظ‚ط¹ ط§ط³طھط±ط§طھظٹط¬ظٹ ظˆط®ط¯ظ…ط§طھ ظ…طھظƒط§ظ…ظ„ط©طŒ ظ…ط¹ طھطµظ…ظٹظ…ط§طھ ط¹طµط±ظٹط© ظˆظ…ط³ط§ط­ط§طھ طھظ†ط§ط³ط¨ ظƒظ„ ط§ظ„ط§ط­طھظٹط§ط¬ط§طھ.
ط§ط®طھط§ط± ط±ط§ط­طھظƒâ€¦ ظˆط§ط®طھط§ط± ظ…ط³طھظ‚ط¨ظ„ظƒ ظپظٹ ط¨ط§ظپط§ط±ظٹط§ طھط§ظˆظ†.â€‌
..</t>
  </si>
  <si>
    <t>Bavaria Town, Zahraa El Maadi, Hay El Maadi, Cairo</t>
  </si>
  <si>
    <t xml:space="preserve"> 55 sqm</t>
  </si>
  <si>
    <t>"Studio Apartment | Al Mamsha Hurghada
Modern Studio Apartment â€“ 1st Avenue South Side, Al Mamsha â€“ Hurghada
Own a stylish studio at the heart of Hurghadaâ€™s most vibrant promenade â€“ Al Mamsha South Side. Perfect as a holiday home or investment, this unit combines convenience, comfort, and an unbeatable location.
Unit Features:
Cozy studio layout
One bathroom with modern finishing
Open-plan kitchen with contemporary design
Payment Options:
Flexible installment plan with 35% down payment
Attractive cash offer available
Project Highlights:
Developed by AKA Group, a trusted name in Red Sea developments
Full property management services after sale &amp; delivery, including maintenance and rental support
Exclusive beach membership (annual subscription per person; number of subscribers based on unit type)
Secure gated community with landscaped areas and lifestyle facilities
Prime Location:
Situated directly on Al Mamsha South Side, Hurghadaâ€™s famous pedestrian promenade
Close to major hotels, shopping centers, and malls
Near Airport Road and Hurghada International Airport
Walking distance to restaurants, cafأ©s, and entertainment hubs
A smart choice for holidaymakers and investors looking for high rental demand in Hurghadaâ€™s most dynamic district.
Contact us today to book your studio at 1st Avenue South Side â€“ Al Mamsha, Hurghada."</t>
  </si>
  <si>
    <t>1st Avenue South side, Hurghada Resorts, Hurghada, Red Sea</t>
  </si>
  <si>
    <t>1,104,950 EGP</t>
  </si>
  <si>
    <t>first installment after 1y receive yours from soma bay
Unit details:
3 bedrooms
3 bathrooms
kitchen
Reception
terrace
_______________________________________________________________________________________________________________________________
Location of Bay West Soma bay in Hurghada
Baywest Resort is located on the west coast of Soma Bay in Hurghada and is adjacent to a large group of tourist resorts and luxury hotels, including Kempinski Hotel Soma Bay, Sheraton Soma Bay, The Breakers Dive Center, The Westin Golf &amp; Spa Soma Bay and White Beach and international golf courses.
Baywest Resort's location is close to service areas and entertainment venues such as Soma Bay Marina, which includes various restaurants and cafes, countless shops, diving centers, a charming sandy beach and many marine activities.
Services Available in Baywest Resort in Hurghada
Security and guard services and the presence of security personnel around the clock.
Car garages.
Regular resort cleaning services and housekeeping on demand Housekeeping
Periodic maintenance services within the resort.
Various swimming pools spread throughout the resort.
medical services.
Transfer services to and from the airport in a limousine.
Privacy within the resort and being in an upscale and closed community.
Units are delivered with full finishing and ACs.
Charming private sandy beach of the Red Sea.
Restaurants and cafes open 24 hours a day in Marina Soma Bay, including oriental, Italian and western dishes.
Diving center in Soma Bay and various marine activities such as water skiing, windsurfing, snorkeling and watching the enchanting coral reefs.
Real Estate for Sale in Soma Bay
Chalets for Sale in Soma Bay
Houses and Villas for Sale in Soma Bay
Penthouses for Sale in Soma Bay
2-Bedroom Apartments for Sale in Soma Bay
Duplexes for Sale in Soma Bay
1-Bedroom Apartments for Sale in Soma Bay
3-Bedroom Apartments for Sale in Soma Bay
Furnished Apartments for Sale in Soma Bay</t>
  </si>
  <si>
    <t>Twinhouse â€“ 3 Bedrooms â€“ Sea View
Fully Finished with ACs â€“ Private Garden â€“ Premium Coastal Living
Built-up Area: 185 sqm
Garden: 120 sqm
3 Bedrooms including a master suite
3 Bathrooms with modern finishes
Spacious open living and dining area
Fully finished with premium specifications
Equipped with air conditioners
Sea view location ensuring stunning daily scenery
Private garden for relaxation and outdoor activities
Flexible installment plan available
---
About the Unit:
This twinhouse is designed for those seeking an exceptional lifestyle by the sea. With a built-up area of 185 sqm and a spacious 120 sqm garden, it offers the perfect balance between indoor comfort and outdoor living. Fully finished with high-end materials and equipped with ACs, the home provides a turnkey solution for immediate comfort.
Lifestyle &amp; Community:
Nestled in a prime coastal destination, the unit guarantees panoramic sea views that create a serene and refreshing ambiance. The community provides a unique mix of luxury, convenience, and natural beauty, making it an ideal retreat for families and vacation seekers alike.
Facilities &amp; Amenities:
Direct access to the beach and waterfront promenades
Clubhouse with dining and leisure facilities
Swimming pools and wellness areas
Sports courts and fitness zones
Kidsâ€™ areas &amp; family-friendly spaces
24/7 gated security with professional property management
Proximity to main roads, city hubs, and lifestyle attractions
Investment Value:
Owning this twinhouse is more than just purchasing a home â€” it is securing a premium lifestyle and a strong investment. The sea view, prime location, and full finishing with ACs ensure high rental potential and excellent capital appreciation. With flexible payment plans, it offers both immediate comfort and long-term value.</t>
  </si>
  <si>
    <t>305 sqm</t>
  </si>
  <si>
    <t>Developer: Orascom Development
Project: El gouna ( Kamaran )
Location: 5 minutes away from Abu Tig Marina, El Gouna. Close to Hurghada International Airport
----------
Unit type: Chalet 2 Bedroom &amp; 3 Bathroom - Prime Location Over Lagoon Direct
Financial Details: 15% Downpayment,over 5 years Instalments
----------
For more info kindly contact me: +201228831116
----------
**Kamaran El Gouna by Orascom Development Egypt**
Kamaran El Gouna is a high-end residential and vacation destination in El Gouna, blending natural tranquility with modern design. Catering to families and professionals, it offers a vibrant yet serene lifestyle with biophilic architecture, lush greenery, and communal spaces.
**Key Features:**
- **Master Plan by EDSA**: Thoughtful design promoting well-being, with workspaces for remote work.
- **Facilities**:
- Sand pools, cycling/jogging lanes, sports zones, yoga spaces, and dog parks.
- Community center, Grill Pavilion, picnic areas, and childrenâ€™s park.
- **Property Types**: Apartments, chalets, and townhouses with scenic views.
- **Services**: 24/7 security and upscale maintenance.
- **Location**: 30 minutes from Hurghada, in a prime El Gouna spot.
**Architecture by Innovation Design Studio**:
- Biophilic, minimalist design integrating nature.
- Harmonious indoor-outdoor living with sustainable elements.
**Developer**: Orascom Development Egypt (ODE), known for integrated resorts like El Gouna, Makadi Heights, and O West.
Kamaran is ideal for those seeking a balanced, nature-inspired lifestyleâ€”whether as a holiday home, retreat, or permanent residence.</t>
  </si>
  <si>
    <t xml:space="preserve"> 92 sqm</t>
  </si>
  <si>
    <t>1,500,000 EGP</t>
  </si>
  <si>
    <t>Now You Can Own your Dream House in the most Premium Location in the Red Sea in Soma Bay Reef Town
Unit Details :
*2 Bedrooms chalet
*First Floor
*Area 105 m2  ( Terrace 36 m2 and 84m2 garden area)
*Payment Plan:
The Reef town apartment is to be delivered in 3 years with a 10% down payment and installments up to 5 years.
Special Discount for Cash Price
Delivery : 3 Years
Somabay is a paradise getaway of 10.000.000 m2 in the Red Sea with a unique climate (365 days of warm weather) famed for its clear water (11 km of the beautiful coastal line), white sandy beaches and its Amazing Virgin coral reefs
Also, Somabay is famous for Golf, SPA, kite- and windsurfing, Aquapark, Horse stable, a Karting club, Paintball, and kids' play park.
This land is missing nothing from entertainment felt and has very high investment potential in the Red Sea.
Somabay Facilities &amp; Advantages :
High Community
Top Luxury Hotels (One of them is the Cascades that have the Biggest, most Famous and Wonderful Spa in the Middle East)
Beach Clubs
Kite Surfing Center (Somabay is Ranked as No.3 Kite Surfing Spot in the World)
Diving Center
Aqua Park
Jetty Hub
Somabay Raceway
Golf Academy &amp; Sports Hub
Golf Yards
Somabay Marina Have All Services Arround For Shopping
Events Platform
Kompass Kindergarden
Medical Center
Umm Gursan Island
Reef Island
Horse Stable
Pets Hotel
A Short Drive From Hurghada International Airport
Reef Town is located between Wadi Jebal and Soma Breeze the strategic positioning on the Reef side of the bay, and panoramic views of the Red Sea.</t>
  </si>
  <si>
    <t>Reef Town, Soma Bay, Safaga, Hurghada, Red Sea</t>
  </si>
  <si>
    <t>103 sqm</t>
  </si>
  <si>
    <t>1,932,000 EGP</t>
  </si>
  <si>
    <t>Hot Deal â€“ Apartment for Sale in Nour City â€“ 4 Million EGP Less Than Company Price
A rare opportunity to own a prime unit in Nour City by Madinet Nasr at a much lower price than the developerâ€™s current offer.
Unit Details:
Built-up Area: 119 mآ²
Layout: 3 Bedrooms (including 1 Master) + 2 Bathrooms
Floor: 4th â€“ Direct North Orientation
Payment Plan: Monthly + Annual installment = 380,000 EGP
Down Payment Paid: 900,000 EGP
Premium Offer: Only 750,000 EGP (instead of 900,000)
Contract Value:
6,020,000 EGP over 13 years
4,500,000 EGP over 10 years
Developerâ€™s current price for the same unit: 10,000,000 EGP over 10 years.
This is a golden opportunity for investment or living in one of the most strategic projects by MNHD â€“ Nour City.</t>
  </si>
  <si>
    <t>119 sqm</t>
  </si>
  <si>
    <t>1,550,000 EGP</t>
  </si>
  <si>
    <t>fully finished twin chalet in red sea with prime location
for more details: 01507947655
details:
1bedrooms
1bathrooms
bua: 70sqm
------------------------------------------------------------------
Location:
Travco has carefully selected the Ras Soma location within the Soma Bay area, strategically situated between Hurghada and Safaga. It is easily accessible via the Hurghadaâ€“Ismailia and Hurghadaâ€“Cairo highways.
Ras Soma is located 55 km south of Hurghada International Airport and only a 4-hour flight from Central European airports. The project is accessible via Route 65M and is surrounded by luxurious resorts and popular tourist destinations.
-------------------------------------------------------------
--------------------------------------------------------------
#ras soma, ras soma bay, ras soma resort, ras abu soma, ras soma residence, ras soma residences, ras abu soma bay, steigenberger ras soma, the ras soma resort red sea egypt, steigenberger ras soma resort, travco, ras soma resort soma bay red sea egypt, rassoma, abu soma travel guide - egypt holidays, soma, sheraton soma bay, travco properties, arc of soma bay, soma bay, abu soma, almaza soma bay, soma bay instagram, abu soma bay, ras, abu soma beach, arc of soma bay hurghada, travco properties developments, kokomo soma bay</t>
  </si>
  <si>
    <t>Ras Soma, Safaga, Hurghada, Red Sea</t>
  </si>
  <si>
    <t>Own your 2-bedroom apartment on the 3rd floor with a sea breeze orientation, with only 5% down payment and delivery in 1 year.
Located in Hyde Park Compound â€“ Fifth Settlement, in the prime Greens phase.
Area: 115 sqm, consisting of 2 bedrooms including a master with dressing and private bathroom, terrace, guest bathroom, kitchen, and spacious reception.
For viewing and more details: 01200023762</t>
  </si>
  <si>
    <t>Azzar Legacy, 5th Settlement Compounds, The 5th Settlement, New Cairo City, Cairo</t>
  </si>
  <si>
    <t>700,000 EGP</t>
  </si>
  <si>
    <t>Zone : Sapphire
Type : Standalone Villa
BUA : 386
Land Area : 551
Finishing : Semi-Finished
Delivery : Ready to move
Downpayment : 35,534,528
Remaining installment : 4,465,472
Total Price : 40,000,000
Included Maintenance + 2 Parking Slots
Citygate is an integrated community everything you need in one place, starting with tranquillity of nature, green spaces and amenities distributed in a well-planned space in an iconic marvellous location on New Cairo.
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specifications.</t>
  </si>
  <si>
    <t>386 sqm</t>
  </si>
  <si>
    <t>6</t>
  </si>
  <si>
    <t>Please Note Before Reading:
This is one of many units we offer in this project, developer &amp; zone we have all unit types
Call or WhatsApp  Us now: +201229888700
View more on TheRealtyCo. org or our Property Finder page
Brought to you by TheRealtyCo. (TRC)
This property is part of a curated portfolio offered by TheRealtyCo., combining a prime location, smart layout, and modern design. Whether youâ€™re looking for a home, investment, or luxury lifestyle, this unit offers privacy, comfort, and long-term value.
Residents enjoy landscaped areas, gyms, pools, and 24/7 security. Some units also feature private gardens, large balconies, staff quarters, and dedicated parking.
Our projects are located in vibrant, well-connected communities with access to schools, hospitals, shopping, and main roads. Flexible payment plans may be available to help you secure the right unit.
TRC is a full-service real estate consultancy offering support across every step â€” from buying and selling to rentals, investments, and property management in Cairo, Dubai, and beyond.
Contact Us
+201007777355 (Office &amp; After Hours)
Our Services
* Portfolio Management
* Property Rentals
* Resale &amp; Primary Units
* Mortgage Advisory
* Property Management
* Holiday Homes
* Interior Design
Stay Connected
Instagram: @therealtyco.trc
Facebook: TheRealtyCo.
LinkedIn: TheRealtyCo.
Call/ WhatsApp: +201203264626
Website: therealtyco. org
Email: info@therealtyco.com
Visit Us
West Office: G17 The Block Mall | Green 4 | TRC Sales Center | Palm Hills October
East Office: Mindhaus | District 5 | Marakez | New Katameya
Your Perfect Property Awaits â€” with TRC. Now.</t>
  </si>
  <si>
    <t>Marassi, Sidi Abdel Rahman, North Coast</t>
  </si>
  <si>
    <t>349 sqm</t>
  </si>
  <si>
    <t>10,542,652 EGP</t>
  </si>
  <si>
    <t>Marina 8
â€¢ chalet
â€¢ Resale
â€¢ Off plan
* Sale
â€¢ Marina 8
â€¢ North Coast
â€¢ SED
â€¢ Bua 146
* âپ      3 bedrooms
â€¢ 3 bathrooms
â€¢ floor 1
â€¢ Finishing ( Core&amp; Shell )
â€¢ View lagoon , ba7ry
â€¢ Delivery 1 Year
â€¢ Payment Terms :
o Total Price 12,613,652
o Down-payment 4,959,324
o Installments 324,804 per quarter
o Maintenance 508,640 included in total price
o Remaining 7,145,688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</si>
  <si>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Marina 8, Marina, Al Alamein, North Coast</t>
  </si>
  <si>
    <t>4,959,324 EGP</t>
  </si>
  <si>
    <t>ظƒظ…ط¨ظˆظ†ط¯ ظ…ط²ط§ط±ظٹظ† ط§ظ„ط¹ظ„ظ…ظٹظ† ط§ظ„ط¬ط¯ظٹط¯ط© Mazarine
ط§ظ…ط§ظ… ط§ط¨ط±ط§ط¬ ط§ظ„ط¹ظ„ظ…ظٹظ† ظ…ط¨ط§ط´ط±ظ‡  ظپظٹظˆ ط¹ ط§ظ„ط¨ط­ط±
ظ…ظˆظ‚ط¹ ط§ظ„ظ…ط´ط±ظˆط¹ ظٹظ‚ط¹ ظپظٹ ظ‚ظ„ط¨ ط§ظ„ط¹ظ„ظ…ظٹظ† ط§ظ„ط¬ط¯ظٹط¯ط© ط؛ط±ط¨ ط§ظ„ط³ط§ط­ظ„ ط§ظ„ط´ظ…ط§ظ„ظٹ
ط§ظ„ظ…ط±ط§ظپظ‚ ظˆط§ظ„ط®ط¯ظ…ط§طھ
ط§ظ†ط¯ظٹط© ط±ظٹط§ط¶ظٹط©
ط­ط¯ط§ط¦ظ‚
ظ…ط¯ط§ط±ط³
ظ…ط±ط§ظƒط² ط·ط¨ظٹط©
ظ…ط±ظƒط² طھط¬ط§ط±ظٹ
ظ…ظ…ط±ط§طھ ظ„ظ„ط¯ط±ط§ط¬ط§طھ
ظٹط¹طھط¨ط± ظ…ظƒط§ظ† ظ…ظ…ظٹط² ط·ظˆط§ظ„ ط§ظ„ط³ظ†ظ‡ ظˆظٹظ…ظƒظ† طھط§ط¬ظٹط± ط§ظ„ظˆط­ط¯ط§طھ ظ„ظ„ط´ط±ظƒط§طھ ط§ظ„ط§ط¬ظ†ط¨ظٹظ‡ ط§ظ„ظ…ظˆط¬ظˆط¯ط© ظپظٹ ظ…ظ†ط·ظ‚ظ‡ ط§ظ„ط¹ظ„ظ…ظٹظ†
ظٹظˆظپط± ط§ظ„ظ…ط´ط±ظˆط¹ ط§ظ„ظ‚ط±ط¨ ظ…ظ† ظ…ط·ط§ط± ط§ظ„ط¹ظ„ظ…ظٹظ† ط§ظ„ط¬ط¯ظٹط¯ط©</t>
  </si>
  <si>
    <t>Mazarine, New Alamein City, Al Alamein, North Coast</t>
  </si>
  <si>
    <t>2,250,000 EGP</t>
  </si>
  <si>
    <t>ط´ظ‚ظ‡ ظ„ظ„ط¨ظٹط¹ ظ…ط³ط§ط­ظ‡ ظ،ظ¦ظ¥ظ… ظپظٹ ط­ط¯ط§ط¦ظ‚ ط§ظƒطھظˆط¨ط± ظ…ظ†ط·ظ‚ط© ط§ظ„ظ…ط³ظ„ط³ظ„ط§طھ
ط¹ ط§ظ„ط±ط¦ظٹط³ظٹ ظ…ط¨ط§ط´ط± ط§ظ…ط§ظ… ط§ظ„ظ…ظ…ط´ظٹ ط§ظ„ط³ظٹط§ط­ظٹ ظˆط·ط±ظٹظ‚ ط§ظ„ظپظٹظˆظ… ظˆط§ظ„ظ‚ط·ط§ط± ط§ظ„ط³ط±ظٹط¹ ظˆط¨ط¬ظˆط§ط± ط´ط§ط±ط¹ ط§ظ„ظ†ظˆط§ط¯ظٹ
ظپظٹظˆ ظ…ظپطھظˆط­ ظˆط§ط¬ظ‡ظ‡ ط¨ط­ط±ظٹ ط´ط±ظ‚ظٹ طµط±ظٹط­
ظ…طھط§ط­ ظ…طھظƒط±ط± ط§ظ„ط¯ظˆط± ط§ظ„طھط§ظ†ظٹ ظˆط§ظ„ط£ظˆظ„
ط§ط­ظ†ط§ ط§ظ„ط´ط±ظƒظ‡ ط§ظ„ظ…ط§ظ„ظƒظ‡ ط§ظ„ط¨ظٹط¹ ط¨ط¯ظˆظ† ط¹ظ…ظˆظ„ط§طھ
ط§ط³طھظ„ط§ظ… ظپظˆط±ظٹ ظ†ظ‡ط§ط¦ظٹ</t>
  </si>
  <si>
    <t>Italian Neighborhood Road, Hadayek October, 6 October City, Giza</t>
  </si>
  <si>
    <t>165 sqm</t>
  </si>
  <si>
    <t>for sale apartment fully finished in sodic east new Heliopolis
built up area : 177sqm
3bedroom _ 3bathroom _ dressing room _ kitchen _ living +reception _ terrace
Master Plan of SODIC East Compound
SODIC East sprawls over 665 acres of land, and in order to utilize every square meter of the compound perfectly, SODIC crafted a master plan for the compound with distinguishing facilities. It partnered with the renowned Massachusetts-based Sasaki to develop a fully integrated community, putting your comfort and tranquility in mind.
SODIC East is a peaceful gated community, thanks to following sustainability principles while developing it. It features vast greenery and natural landscapes. SODIC dedicated 84% of the landâ€™s area to open and green spaces.
Your calm living experience in SODIC East will include enjoying a morning stroll amid greenery, and experiencing a tranquil evening under the skies at night in the fresh air.
Additionally, there is a 26-acre garden in SODIC East Compound, where you can bond with your loved ones, have a nice picnic, or simply enjoy quality time where you can destress.
payment plan
5%down payment
5%after 3 months
over 10 years installment
mina sobhy
01280069550
01050068170</t>
  </si>
  <si>
    <t>177 sqm</t>
  </si>
  <si>
    <t>864,700 EGP</t>
  </si>
  <si>
    <t>Project Name: City Gate.
City Gate Location: New Cairo 10-minute drive from the American University.
Type: Apartment
Built-up Area: 177 SQM
Number of bedrooms: 3
Delivery date: 2028
Finishing Status: Fully finished
Total selling price: 15,230,000 EGP
Downpayment: 5,586,000 EGP
Remaining amount: 9,644,000â€¬ EGP
Nestled within the CityGate community, Sapphire Golf Villas is a true masterpiece of contemporary architecture and design. Inspired by the luscious surrounding landscape, the villas exude a sense of peace and blend seamlessly into the enchanting shades of greenآ allآ around.
Available Services inside City Gate
Inside City Gate New Cairo, there are four luxurious hotels with exquisite decorations that provide services at the highest level.
Private picnic areas and gardens with rest areas so that the guests can spend the most enjoyable time with their children and breathe the fresh air for more psychological comfort and stability.
A clubhouse contains all the health requirements that residents need for more luxury and comfort.
Large garages to accommodate the largest number of guest cars and eliminate the problem of congestion in front of the buildings.
Modern-designed halls with the latest equipment, sound, and display systems for study, in addition to the presence of spaces inside for holding weddings and parties.
Commercial centers were established on an area of 720,000 square meters and contain many stores that provide goods and services and the most famous brands that meet the needs of guests.
A chain of state-of-the-art restaurants and cafes with exquisite decorations, offering high-quality integrated services.
Attention to the educational aspect, as three international schools were established with a group of experts in teaching to reach the highest levels of education.
Medical care is available in City Gate New Cairo, which is represented in the presence of hospitals</t>
  </si>
  <si>
    <t>334 sqm</t>
  </si>
  <si>
    <t>5,586,000 EGP</t>
  </si>
  <si>
    <t>Finished unit best location in New Zayed over 10Years with private garden
unit details:
2bedrooms
1 bathroom
Reception
kitchen
for more details: 01100806252
###Housing and Development Company for Real Estate Investment
A pioneer in Egypt's real estate development industry,the Housing and Development Company has earned a stellar reputation over its 40+ years of exceptional achievements. As an investment arm of the Housing and Development Bank,the company enjoys a robust financial foundation and strategic partnerships,enabling it to undertake large-scale,successful projects across Egypt. Committed to delivering innovative residential and commercial solutions,the company has consistently met the evolving needs of its customers. Its ability to create contemporary living spaces has solidified its position as a leading real estate developer. Beyond residential projects,the company's portfolio also includes commercial and medical developments,demonstrating its versatility.
Flagship Projects
Properties for sale in Sheikh Zayed
3-bedroom apartments for sale in Sheikh Zayed
Houses and villas for sale in Sheikh Zayed
2-bedroom apartments for sale in Sheikh Zayed
Townhouses for sale in Sheikh Zayed
Twin houses for sale in Sheikh Zayed
4-bedroom apartments for sale in Sheikh Zayed
Duplexes for sale in Sheikh Zayed
Furnished apartments for sale in Sheikh Zayed
1-bedroom apartments for sale in Sheikh Zayed
Studio apartments for sale in Sheikh Zayed
5-bedroom apartments for sale in Sheikh Zayed
6-bedroom apartments for sale in Sheikh Zaye</t>
  </si>
  <si>
    <t>550,000 units have been downloaded for quick sale.
Cali Coast North Coast, Ras El Hekma
Chalet
86 square meters
2 bedrooms + 2 bathrooms
First floor
Lagoon view
Fully finished - Delivery 2027
Required down payment: 3,250,000
Remaining amount: 2,419,240 in installments with the company until 2031
Maintenance deposit: 360,400
Cali Coast Village Location on the North Coast
Cali Coast Village is located at kilometer 191 on the Alexandria-Matrouh Road, specifically in the Ras El Hekma area, which is characterized by its tranquil atmosphere and natural charm. The village boasts clear turquoise waters and luxurious architectural designs, making it one of the most prominent tourist destinations, ideal for escaping the pressures of life and avoiding stress and work fatigue.
Because access to this unique destination is crucial, Maven Real Estate Company was keen to choose a strategic location for the village, close to the most prominent roads and main axes, making it easily accessible from various locations. The village is also close to many of the region's vital landmarks, enhancing its appeal and making it an ideal destination for relaxation and luxury. Among the most prominent landmarks are:</t>
  </si>
  <si>
    <t>Cali Coast, Ras Al Hekma, North Coast</t>
  </si>
  <si>
    <t>325,000 EGP</t>
  </si>
  <si>
    <t>Developer | IL Cazar
Project | The Crest
Property Details :
PentHouse
BUA : 199 Sqm
3 Bedrooms
3 Bedrooms
Roof 199 Sqm
Fully Finished
Prime Location
10 Years Installments
For More Details Call : 01220512952
----------------------------------------------------------------
The Crest is a premium residential compound developed by Il Cazar Developments. It covers an expansive 158 acres of land that embodies the essence of two mini-cities within a vibrant urban landscape.
Envisioned as a harmonious blend of community living and natural beauty, the project seamlessly integrates captivating water features, lush greenery, and scenic landscapes.
-----------------------------------------------------------------
Properties for sale in 5th Settlement Compounds
Properties for sale in The Crest
Apartments for sale in The Crest
Villas for sale in The Crest
Townhouses for sale in The Crest
Penthouses for sale in The Crest
Twin houses for sale in The Crest
Duplexes for sale in The Crest</t>
  </si>
  <si>
    <t>The Crest, 5th Settlement Compounds, The 5th Settlement, New Cairo City, Cairo</t>
  </si>
  <si>
    <t>199 sqm</t>
  </si>
  <si>
    <t>200,000 EGP</t>
  </si>
  <si>
    <t>165mآ² Apartment Garden and Landscape View â€“ Your perfect space with easy 6-year installments
3 Bedrooms (Master room with private bathroom + dressing) â€“ 3 Full Bathrooms â€“ Spacious 3-piece reception â€“ Modern kitchen with practical layout â€“ 2 Terraces with direct garden view
Integrated services:
Green areas â€“ 24/7 Security â€“ Commercial mall â€“ Club house â€“ Private garage â€“ Kidsâ€™ play areas â€“ Swimming pools â€“ Fully equipped gym
Payment plan: Only 15% down payment with easy installments up to 7 years and 7% discount for a limited time
Delivery within 4 years â€“ guaranteed delivery in an integrated upscale compound
Supervised by the largest consultancy offices in Egypt and the Middle East
Engineer Hussein Sabbour Company â€“ for the first time in New Obour
DSC (Distance Studio Consultants)
Location:
In New Obour â€“ on 90 Street â€“ 400m direct frontage on the Green Belt
Only one minute from New Obour City Authority
Close to the 8th District Carrefour and Obour Main Axis
Easy access through the Middle Ring Road and Line 10
Project components:
Integrated residential and commercial compound
21 Buildings
Green areas and integrated services
Only 20% buildings + 80% dedicated to services and landscape
Your chance now:
For details contact us on (01103357064)
Or on hotline 16988
Lowest down payment and payment facilities up to 7 years
Valero Real Estate Development
One of the leading companies in the real estate development sector in Obour and New Obour
Founded by a team of top consultants and experts in real estate and development in Egypt and Saudi Arabia
Works according to the principle of trust committed to turning visions into reality through dedication and perfection
Aims to provide exceptional real estate solutions that meet clientsâ€™ needs and keep up with their aspirations</t>
  </si>
  <si>
    <t>Obour City, Qalyubia</t>
  </si>
  <si>
    <t>561,836 EGP</t>
  </si>
  <si>
    <t>ط´ظ‚ظ‚ ظ„ظ„ط¨ظٹط¹ ط¨ط§ظ„ظ‚ط§ظ‡ط±ط© ط§ظ„ط¬ط¯ظٹط¯ط© - ظƒظ…ط¨ظˆظ†ط¯ ظ‡ط§ظٹط¯ ط¨ط§ط±ظƒ
ط§ظ„ظ…ط³ط§ط­ط© : 139 ظ…طھط±
ط§ظ„ط³ط¹ط± : 7,200,000 ط¬ظ†ظٹظ‡
ط§ظ„ظ…ظ‚ط¯ظ… : 6,000,000 ط¬ظ†ظٹط©
ظ†طµظپ طھط´ط·ظٹط¨
ظ…ظƒظˆظ†ط© ظ…ظ† : 2 ط؛ط±ظپ ظ†ظˆظ… + 2 ط­ظ…ط§ظ…
ط¥ط³طھظ„ط§ظ… : 6 ط´ظ‡ظˆط±
---------------------------------------------
Apartment for sale in New Cairo Compounds - Hyde Park
BUA : 139m
Sale Price : 7,200,000 EGP
Down Payment : 6,000,000 EGP
Semi Finished
2 Bedrooms + 2 Bathrooms
Delivery Date : 6 Months
---------------------------------------------------------------
Hyde Park New Cairo Location
The location of the compound was strategically chosen to be in the most thriving spot in New Cairo. With immediate access to the Ring Road and Road 90, Hyde Park New Cairo location is only a few kilometers from the AUC campus and less than half an hour away from Cairo International Airport. It is also worth noting that the compound is in close proximity to the new administrative capital.
Hyde Park New Cairo compound is the ultimate place to be, as it extends over 6 million square meters with a notable collection of properties and amenities. The compound is one of the biggest mixed-use projects in the city.
Hydepark Egypt is much more than a residential compound, it's a whole community that celebrates your achievements and raises your living standards. The whole concept of the Hyde Park compound is that it's the place for new beginnings and happiness.
===========================================
Apartments for sale in installments in New Cairo
Apartments for sale in installments in the Fifth Settlement
Apartments for sale in Hyde Park Compound
Apartment for sale in New Cairo, immediate delivery
Apartment for sale in Fifth Settlement, immediate delivery
Villa for sale in Fifth Settlement
Villa for sale in New Cairo
Villa for sale, immediate receipt
Apartments for sale in Hyde Park Compound</t>
  </si>
  <si>
    <t>For Sale
Palm Hills
New Cairo
Town corner
BUA: 191.5m
Land: 246m
3 Bedrooms
3 Bathrooms
Nanny Room+ Bathroom
Delivery 2025
Down payment: 11,378,500 EGP
Remaining: 13,178,500 EGP
Total: 24,557,000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t>
  </si>
  <si>
    <t>191 sqm</t>
  </si>
  <si>
    <t>11,378,500 EGP</t>
  </si>
  <si>
    <t>ORA-DEVELOPMENT
--------------------------------------------------------------
UNIT DETAILS :
------------------
Bua : 250 Sqm
Garden : 60 Sqm
3 Bedroom
4 Bedroom
FULLY FINISHED With AC
---------------------------------------------------
FOR INFO :01201657597
FOR INFO :01201657597
---------------------------------------------------
FACILITES :
--------------
A one km of sandy beachfront.
4 premium clubhouses
The Heart and The Crown fully fledged retail areas.
A commercial hub of 6000 square meters
2 boutique hotels
An 88 square meter of lagoon
Sports area featuring multipurpose sports courts.
services offered in Silver Town
Round-the-clock security services
Upscale maintenance services
Housekeeping services
-----------------------------------------------------------
ORA is a developer with an ethos to deliver unmatched experiences that embody human aspirations of self-fulfillment, and the pinnacle of happiness through a sensorial approach that can only be described as a surreal yet perfect moment of lifetime achievement in luxury living.
Reimagining time, our projects are often likened to a complicated luxury timepiece that offer perfect blends of intricate detail which can only result in a flawless breathtaking moment of awe</t>
  </si>
  <si>
    <t>For the first time in New Heliopolis, Reserve a fully finished Apartment at the first offer price, with installments over 10 years, interest-free.
In ELAIA Compound
Next to SODIC East and Talala Compound
Near the Suez Road and Amal Axis
Minutes from the New Administrative Capital
The compound is 60% villas
Apartment area 73 square meters (a studio with a very distinctive layout)
Master bedroom - bathroom
Two-piece reception area - large kitchen
Terrace with an open view
Fully finished
An investment opportunity at the lowest price per square meter
And in the most distinguished location within the compound
Services and amenities:
Security and guards
Sports clubs
Gardens
Cafes and restaurants
Surveillance cameras
Kids area
Shopping mall
Bicycle lanes
Medical centers
Green spaces
Plaza areas
Electronic gates
Car garages
With a down payment starting from only 5% and the remaining amount paid in installments over 10 years, interest-free
For more details: 01116140002</t>
  </si>
  <si>
    <t>Elaia, New Heliopolis Compounds, New Heliopolis, Cairo</t>
  </si>
  <si>
    <t xml:space="preserve"> 73 sqm</t>
  </si>
  <si>
    <t>180,000 EGP</t>
  </si>
  <si>
    <t>Fully Finished Unique Duplex 2 Bedroom + Private Garden With Panoramic Sea View In Cali Coast Ras El Hekma Over 10 Years installments
Experience the epitome of coastal living with this elegant 2-bedroom duplex in the prestigious Cali Coast development by Maven Developments. Situated in the heart of Ras El Hekma, this property offers a seamless blend of modern design
Unit Details :
Built Up Area  : 140 SQM
Number Of Bedrooms : 2
Number Of Bathrooms : 2
Garden Area : 30 SQM
Fully Finished
Payment Plane : Over 10 Years Installments
About Cali Coast Ras El Hekma :
Cali Coast Ras El Hekma is one of the magnificent beach resorts by Maven Developments on the North Coast. This unique project merges the California-style architecture with the old-school Sahel resulting into a one of a one-of-a-kind summer experience.
Cali Coast North Coast is created to give you the vibe of the unforgettable summer days, relaxation, and enjoyment you are looking for.
Bear in mind that the resort has an ideal location on the 193rd kilo, near numerous other high-end destinations. Combining the ideal location with the endless world-class amenities of the resort, it is easy to see why Cali Coast is on everyone's radar.
Under Market Price
0% down Payment
Chalets for sale
Properties for sale in North Coast
Apartments for sale in North Coast
Villas for sale in North Coast
Townhouses for sale in North Coast
Penthouses for sale in North Coast
Chalets for sale in North Coast
Twin houses for sale in North Coast
Duplexes for sale in North Coast
Land for sale in North Coast
Bungalows for sale in North Coast
Hotel apartments for sale in North Coast
Properties for sale in North Coast
Apartments for sale in North Coast
Villas for sale in North Coast</t>
  </si>
  <si>
    <t>Resale Apartment in O West â€“ 156 SQM
3 Bedrooms (including 1 Master)
3 Bathrooms
Reception
Kitchen
Terrace
Prime Location â€“ Overlooking Landscape with Water Feature
Negotiable Price
Payment Plan:
Cash: 4,000,000 EGP
Remaining Installments: 395,000 EGP every 6 months until 2031
Total Price: 8,600,000 EGP
About Us:
We are RE/MAX EVEREST, a Franchise of RE/MAX, the World's No. 1 Real Estate Brokerage Brand. With more than 120,000 Agents in 8,400+ offices in 115 countries, we are presently the fastest growing real estate network in Egypt and the Middle East. Weâ€™re specialized in Sheikh Zayed, October, North Coast and Al Ain Al Sokhna areas.</t>
  </si>
  <si>
    <t>BUA 195 SQM
3 BEDROOMS
3 BATHROOMS
READY TO MOVE
INSTALLMENT OVER 6Y
25% DOWN PAYMENT
PRIME LOCATION
01200070052
ABOUT CREEK TOWN
Creek Town is a luxury town located on the Suez Road in the First Settlement of New Cairo designed and executed to expound the art of space. The land area of Creek Town is 100 acres and the complex will include standalones, twin houses, apartments and unparalleled amenities. Two clubhouses, sports area and kids playground will serve the community.</t>
  </si>
  <si>
    <t>Creek Town, The 1st Settlement, New Cairo City, Cairo</t>
  </si>
  <si>
    <t>25 EGP</t>
  </si>
  <si>
    <t>For the first time, Al-Masram Company offers in the Mar Bay project, the North Coast, an installment of 10 years for a limited period, a chalet with a full view of the sea with the finest
North Coast Projects
IN MARBAY - MR BAY FROM THE CEREMONY COMPANY
In the north coast in kilos 191, Ras Al-Hikma
The project area is 640 acres
Area: 200
Consisting of:
3 bedrooms | 4 bathrooms + nanny room including private bathroom with reception 2 pieces | Large kitchen Terrace in view open to the sea
Full vision of the sea and completely written off
Super Lux
Project Services:
* Club
â€¢Marina
* Restaurants
* Cafes
* Beach Club.
* Commercial complex.
* Club.
* Various water activities.
* Festival area.
* Paths for cycling and walking
* Gym and spa
* International stores
With only 5% down and in installments over 10 years
Without interest
For more details _ 01103750503</t>
  </si>
  <si>
    <t>200 sqm</t>
  </si>
  <si>
    <t>Duplex for sale in Hyde Park, 5th Settlement Compounds
Duplex Hyde park HPR2
Typical floor
Bua 216 m
3 bedroom + 3 bathroom
Down payment 10,450,000
Total 11,450,000
-----------------------------------------------------
About Hyde Park New Cairo
Hyde Park New Cairo by Hyde Park Developments is a premier residential compound situated in the heart of New Cairo, offering a harmonious blend of modern living and natural beauty. The development is meticulously designed to provide residents with a luxurious lifestyle, featuring expansive green spaces, state-of-the-art amenities, and a strategic location that ensures convenience and accessibility.
Location of Hyde Park New Cairo
Hyde Park New Cairo boasts a prime location with easy access to major roads and key destinations, including:
5 minutes from South 90th Street
10 minutes from the American University in Cairo (AUC)
15 minutes from Cairo Festival City Mall
20 minutes from Cairo International Airport
25 minutes from Downtown Cairo
Features of Hyde Park New Cairo
Modern Architectural Design: Contemporary and innovative structures that blend seamlessly with the natural surroundings.
Expansive Green Spaces: Lush parks and gardens offering serene environments for relaxation and recreation.
World-Class Amenities: A fully equipped clubhouse, sports facilities, and recreational areas catering to diverse interests.
24/7 Security: Advanced surveillance systems and dedicated security personnel ensuring residents safety and peace of mind.
Commercial and Retail Hubs: Integrated shopping areas providing a variety of retail outlets, dining options, and entertainment venues.
Educational and Healthcare Facilities: Proximity to reputable schools, universities, and medical centers.
Sustainable Living: Environmentally friendly initiatives promoting green living and sustainability.</t>
  </si>
  <si>
    <t>216 sqm</t>
  </si>
  <si>
    <t>- Misr Italia
- Solare
- For More Details : 01113322254
*Unit Details*
- Unit Type : Standalone Villa
- BUA : 264
- 5 Bedrooms + Nanny's Bedroom
- 5 Bathrooms + Nanny's Bathroom
- Fully Finished
About Solare
Solare Misr Italia Resort is one of the finest vacation destinations in North Coast. It is ideally located in Ras El Hekma, specifically on 199th km of Alexandria - Marsa Matrouh Road (International Coastal Road).
Solare Ras El Hekma is the home of many elite beach houses, accompanied by a myriad of top-notch amenities, from shopping venues to swimming pools, sports courts and facilities, and world-class hospitality services.
Misr Italia ensures vacationers will unlock the ultimate tranquil and exciting coastal escapade in Solare North Coast Resort.
Solare Misr Italia Master Plan
The Solare Misr Italia Project expands over 386 acres of land in North Coast, with a well-crafted master plan utilizing every square meter of the resort. It is a serene Eden where beach lovers enjoy a flawless summer, filled with unforgettable memories.
Misr Italia designed Solare Ras El Hekma with various elevations. The resort is composed of 8 levels, each with its lavish set of units, featuring a direct, beautiful sea view. The project features a 1km beachfront, bewitchingly blending the azure Mediterranean with its white sandy beach.
Solare Misr Italia Resort is elevated 30m above sea level, whereas 80% of the units exhibit enchanting water views. The project boasts various residential zones, which are:
Ciano
Cielo
Lumera
Furthermore, the Solare North Coast master plan outlines:
Islands floating over bewitching water bodies.</t>
  </si>
  <si>
    <t>450 sqm</t>
  </si>
  <si>
    <t>Apartment for sale, 188 mآ², Palm Hills Alexandria Compound (Open View of the Green Spine)
2 master bedrooms, 3-piece reception, 2 bathrooms
Full utilities (electricity, water, and gas)
4th floor, 6-story building
Delivery 1/2026
Minimum 15% down payment
Total price: EGP 18,902,000 (down payment EGP 945,000 + remaining in installments over 10 years - including garage)
** Compound features: Green Spine + Mall + King International School + Metro Market + Club House
آ» For more details and to schedule a viewing, contact Mr. Abdelrahman Saleh: 01284015556
Unit code: 130208</t>
  </si>
  <si>
    <t>Palm Hills, Alexandria Compounds, Alexandria</t>
  </si>
  <si>
    <t>945,000 EGP</t>
  </si>
  <si>
    <t>A unique investment opportunity in the heart of Sheikh Zayed
Own your 72 square meter apartment now in G West Compound at the heart of El Thawra El Khadra
The apartment consists of one bedroom one bathroom a reception area and a kitchen
With only 370 thousand EGP down payment and installments up to 10 years
The compound offers all services including a commercial mall landscaped areas and artificial lakes kids area
gym
joggingآ track</t>
  </si>
  <si>
    <t>Q-Hills, New Zayed City, Sheikh Zayed City, Giza</t>
  </si>
  <si>
    <t>370,000 EGP</t>
  </si>
  <si>
    <t>_ PROJECT NAME : SOMA BAY
_ DEVELOPER NAME : ABO SOMA DEVELOPMENT
_________________________________________________________________
_ UNIT DETAILS :
- 1 MASTER BEDROOM
- 1 MASTER BATHROOM
- 2 BEDROOMS
- BATHROOM
- GUEST TOILET
- RECEPTION
- ROOF
________________________________________________________________
_ FEEL FREE TO CONTACT ME AT : 01201659282
_________________________________________________________________
_ PAYMENT PLAN :
- 5% DOWNPAYMENT + 5% AFTER 6 MONTHS PAY OVER 7 YEARS INSTALLMENTS.</t>
  </si>
  <si>
    <t>171 sqm</t>
  </si>
  <si>
    <t>930,000 EGP</t>
  </si>
  <si>
    <t>Count of type</t>
  </si>
  <si>
    <t>Grand Total</t>
  </si>
  <si>
    <t>Count of # bedrooms</t>
  </si>
  <si>
    <t>Count of bathrooms</t>
  </si>
  <si>
    <t># of Living rooms</t>
  </si>
  <si>
    <t># of Bedrooms</t>
  </si>
  <si>
    <t># of Bathrooms</t>
  </si>
  <si>
    <t># of Kitchens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</si>
</sst>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
    <font>
      <sz val="11"/>
      <color theme="1"/>
      <name val="Calibri"/>
      <family val="2"/>
      <scheme val="minor"/>
    </font>
    <font>
      <sz val="11"/>
      <color rgb="FF000000"/>
      <name val="Calibri"/>
      <family val="2"/>
    </font>
    <font>
      <b/>
      <sz val="11"/>
      <color theme="0"/>
      <name val="Calibri"/>
      <family val="2"/>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3" fontId="1" fillId="0" borderId="0" xfId="0" applyNumberFormat="1" applyFont="1" applyAlignment="1">
      <alignment horizontal="center" vertical="center"/>
    </xf>
    <xf numFmtId="0" fontId="1" fillId="0" borderId="0" xfId="0" applyFont="1" applyAlignment="1">
      <alignment horizontal="center" vertical="center" wrapText="1"/>
    </xf>
    <xf numFmtId="15" fontId="1" fillId="0" borderId="0" xfId="0" applyNumberFormat="1" applyFont="1" applyAlignment="1">
      <alignment horizontal="center" vertical="center"/>
    </xf>
    <xf numFmtId="0" fontId="1" fillId="0" borderId="0" xfId="0" applyFont="1" applyAlignment="1">
      <alignment horizontal="center" vertical="center" wrapText="1" readingOrder="2"/>
    </xf>
    <xf numFmtId="0" fontId="1" fillId="0" borderId="0" xfId="0" quotePrefix="1" applyFont="1" applyAlignment="1">
      <alignment horizontal="center" vertical="center" wrapText="1"/>
    </xf>
    <xf numFmtId="0" fontId="2" fillId="2" borderId="0" xfId="0" applyFont="1" applyFill="1" applyAlignment="1">
      <alignment horizontal="center" vertical="center"/>
    </xf>
    <xf numFmtId="0" fontId="0" fillId="0" borderId="0" xfId="0" pivotButton="1"/>
    <xf numFmtId="9" fontId="0" fillId="0" borderId="0" xfId="0" applyNumberFormat="1" applyAlignment="1">
      <alignment horizontal="center" vertical="center"/>
    </xf>
    <xf numFmtId="164" fontId="2" fillId="2" borderId="0" xfId="0" applyNumberFormat="1" applyFont="1" applyFill="1" applyAlignment="1">
      <alignment horizontal="center" vertical="center"/>
    </xf>
    <xf numFmtId="164"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4.874981712965" createdVersion="8" refreshedVersion="8" minRefreshableVersion="3" recordCount="149" xr:uid="{B5518EAA-C9AC-4D09-8EF5-19A390E7E49F}">
  <cacheSource type="worksheet">
    <worksheetSource ref="A1:K150" sheet="Data"/>
  </cacheSource>
  <cacheFields count="11">
    <cacheField name="price" numFmtId="3">
      <sharedItems containsSemiMixedTypes="0" containsString="0" containsNumber="1" containsInteger="1" minValue="325000" maxValue="71500000"/>
    </cacheField>
    <cacheField name="description" numFmtId="0">
      <sharedItems longText="1"/>
    </cacheField>
    <cacheField name="location" numFmtId="0">
      <sharedItems/>
    </cacheField>
    <cacheField name="type" numFmtId="0">
      <sharedItems count="8">
        <s v="Chalet"/>
        <s v="Villa"/>
        <s v="Apartment"/>
        <s v="Penthouse"/>
        <s v="Twin House"/>
        <s v="Duplex"/>
        <s v="iVilla"/>
        <s v="Townhouse"/>
      </sharedItems>
    </cacheField>
    <cacheField name="Size" numFmtId="0">
      <sharedItems/>
    </cacheField>
    <cacheField name="# bedrooms" numFmtId="0">
      <sharedItems containsMixedTypes="1" containsNumber="1" containsInteger="1" minValue="1" maxValue="1" count="8">
        <s v="1"/>
        <s v="4"/>
        <s v="2"/>
        <s v="3"/>
        <s v="7"/>
        <s v="5"/>
        <n v="1"/>
        <s v="6"/>
      </sharedItems>
    </cacheField>
    <cacheField name="bathrooms" numFmtId="0">
      <sharedItems containsSemiMixedTypes="0" containsString="0" containsNumber="1" containsInteger="1" minValue="1" maxValue="7" count="7">
        <n v="1"/>
        <n v="4"/>
        <n v="2"/>
        <n v="7"/>
        <n v="5"/>
        <n v="3"/>
        <n v="6"/>
      </sharedItems>
    </cacheField>
    <cacheField name="available_from" numFmtId="15">
      <sharedItems containsSemiMixedTypes="0" containsNonDate="0" containsDate="1" containsString="0" minDate="2024-07-05T00:00:00" maxDate="2026-08-22T00:00:00"/>
    </cacheField>
    <cacheField name="payment_method" numFmtId="0">
      <sharedItems/>
    </cacheField>
    <cacheField name="0s in payment" numFmtId="0">
      <sharedItems containsSemiMixedTypes="0" containsString="0" containsNumber="1" containsInteger="1" minValue="-4" maxValue="10"/>
    </cacheField>
    <cacheField name="down_paym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n v="8000000"/>
    <s v="OWN A CHALET IN EL GOUNA WITH A PRIME LOCATION, FULL SEA VIEW, AND LUXURIOUS FINISHES._x000a_DEVOLOBER : ORASCOM_x000a_UNITTYPE l CHALET_x000a_DETAILS :_x000a_- 1 BEDROOM ( MASTER )_x000a_- BATHROOM_x000a_- FULLY FINISHED with ACs and Kitchen Cabinets+with panoramic lagoon+greenery_x000a_- PRIME LOCATION_x000a_-  DIRECT ON LAGOON_x000a_- BAHARY_x000a_- BIG RECEPTION_x000a_-------------------------------------------------_x000a_FOR MORE INFO CALL :_x000a_01202738533_x000a_----------------------------------------_x000a_Gouna is a high-end, luxurious all-year-round residential destination, and an edge-cutting summer stay that was created by Orascom Development Egypt._x000a_Experience tranquil life at North Bay, El Gouna, which offers iconic homes that skillfully combine dynamic architectural design with the natural surroundings. North Bay raises the bar for luxury living to a whole new level._x000a_It is a visual masterpiece of refinement that is creating a new language for the Northern part of the town while honoring aspects of El Gouna's architectural past, utilizing the beauties of nature, and fusing contemporary aesthetics that appeal to the heart._x000a_North Bay is a magnificent new landmark and innovative development that inhabitants will be delighted to call home. It is anchored by a picturesque lagoon water body of epic proportions that conveniently connects to the open sea._x000a_Imagine living near the ocean in a welcoming, like-minded neighborhood where everyone loves the water and the distinctive way of life that comes with it. With direct boat access through the nearby complexes, residents may just relax while viewing the lagoon that connects to the sea._x000a_An abundance of thoughtfully chosen facilities redefines life. The best of nature's blessings are essentially captured in open-to-sea lagoon-side living, which provides a calm, daring, and soul-nourishing way of life that makes a positive impression on individuals who are lucky enough to call North Bay home."/>
    <s v="Swan Lake Gouna, Al Gouna, Hurghada, Red Sea"/>
    <x v="0"/>
    <s v=" 68 sqm"/>
    <x v="0"/>
    <x v="0"/>
    <d v="2025-08-31T00:00:00"/>
    <s v="Cash"/>
    <n v="9"/>
    <s v="1,200,000 EGP"/>
  </r>
  <r>
    <n v="25000000"/>
    <s v="For sale, a villa with immediate delivery in Carmel Compound - SODIC - New Zayed_x000a_220 mآ² building area and 400 mآ² land_x000a_4 bedrooms, 4 bathrooms, and a maid's room with a bathroom_x000a_Overlooking green spaces_x000a_Total price: 25,000,000_x000a_Down payment: 21,130,000_x000a_Remaining: 3,870,000_x000a_Until March 2030_x000a_Standalone villa_x000a_Price includes maintenance and a clubhouse_x000a_Location:_x000a_â€¢ Prime location in the heart of Sheikh Zayed_x000a_â€¢ Next to SODIC West Compound_x000a_â€¢ Close to Juhayna Square and Sphinx Airport_x000a_â€¢ Steps from the 26th of July Axis_x000a_Services and amenities:_x000a_â€¢ Vast green spaces_x000a_â€¢ Artificial lakes and water features_x000a_â€¢ Jogging and cycling tracks_x000a_â€¢ Children's entertainment areas_x000a_â€¢ Shopping mall_x000a_â€¢ Restaurants and cafes_x000a_â€¢ International brands_x000a_â€¢ Sports fields_x000a_â€¢ Clubhouse_x000a_â€¢ 24-hour security and surveillance_x000a_Contact: Hussein Yari 01154554158_x000a_SODIC is one of the most prominent real estate developers in Egypt and the Middle East. Its most notable projects include:_x000a_آ· Beverly Hills City in Sheikh Zayed._x000a_آ· October Plaza 6th of October._x000a_آ· SODIC East Heliopolis Compound._x000a_آ· SODIC East Shorouk Compound._x000a_آ· Sky Condos Project._x000a_آ· June Village North Coast."/>
    <s v="Karmell, New Zayed City, Sheikh Zayed City, Giza"/>
    <x v="1"/>
    <s v="220 sqm"/>
    <x v="1"/>
    <x v="1"/>
    <d v="2025-09-02T00:00:00"/>
    <s v="Cash"/>
    <n v="9"/>
    <s v="2,100,000 EGP"/>
  </r>
  <r>
    <n v="15135000"/>
    <s v="With a down payment of EGP 1,513,000, a fully finished chalet with air conditioning and a kitchen in Azha, Ray El Hekma._x000a_Area: 118 m2_x000a_Layout: 2 bedrooms, 2 bathrooms_x000a_With a down payment of EGP 1,513,000 and the remaining amount to be paid in installments over the longest repayment period._x000a_You will receive the property fully finished, including air conditioning and a kitchen._x000a_Location:_x000a_Azha, North Coast, Ras El Hekma, kilometer 214"/>
    <s v="Azha North, Ras Al Hekma, North Coast"/>
    <x v="0"/>
    <s v="118 sqm"/>
    <x v="2"/>
    <x v="2"/>
    <d v="2025-08-19T00:00:00"/>
    <s v="Cash"/>
    <n v="9"/>
    <s v="1,513,000 EGP"/>
  </r>
  <r>
    <n v="12652000"/>
    <s v="Own an apartment in New Cairo with a minimal down payment and installments over 12 years._x000a_In Taj City Compound._x000a_The apartment offers a very distinctive view._x000a_The best layout available._x000a_Total area: 166 m._x000a_For more details, contact us at: 01033457757._x000a_Divided into: 3 bedrooms (master bedroom + dressing room + bathroom)._x000a_Guest bathroom - kitchen - 2-piece reception._x000a_The compound is fully equipped with the best services._x000a_For more details:_x000a_01033457757"/>
    <s v="Taj City, 5th Settlement Compounds, The 5th Settlement, New Cairo City, Cairo"/>
    <x v="2"/>
    <s v="166 sqm"/>
    <x v="3"/>
    <x v="2"/>
    <d v="2025-08-26T00:00:00"/>
    <s v="Installments"/>
    <n v="9"/>
    <s v="1,260,000 EGP"/>
  </r>
  <r>
    <n v="45250000"/>
    <s v="Project: Granville_x000a_Location: Fifth Settlement, New Cairo_x000a_Unit Type: Standalone_x000a_Finishing: Fully Finished_x000a_Area: 400 m_x000a_Unit Details:_x000a_- 7 Bedrooms_x000a_- 7 Bathrooms_x000a_In the heart of the capital and 5 minutes from the American University_x000a_Payment Method:_x000a_Total Unit Price: 45,250,000 EGP_x000a_Down Payment: 2,262,500 EGP_x000a_Installments over 10 years_x000a_Delivery Date : 6 months_x000a_==============_x000a_Founders Real Estate Development is a leading company in the Egyptian market. Launched in 2019 as a subsidiary of Hyde Park Developments, Founders specializes in delivering high-end residential and commercial projects with elegant European designs. The company focuses on selecting prime locations and offering premium-quality units with competitive pricing and flexible payment plans._x000a_In addition to Granville, Founders has developed other successful projects such as Gardenia Compound in Nasr City and Wesal Compound in El Shorouk City. The company is committed to meeting client needs by delivering luxurious and globally-inspired real estate solutions._x000a_===========_x000a_Villas for sale in Granville_x000a_4 bedroom Properties for sale in Granville_x000a_Townhouses for sale in Granville_x000a_5 bedroom Properties for sale in Granville_x000a_6 bedroom Properties for sale in Granville_x000a_3 bedroom Properties for sale in Granville"/>
    <s v="Granville, New Capital City, Cairo"/>
    <x v="1"/>
    <s v="400 sqm"/>
    <x v="4"/>
    <x v="3"/>
    <d v="2025-09-02T00:00:00"/>
    <s v="Cash"/>
    <n v="9"/>
    <s v="2,262,500 EGP"/>
  </r>
  <r>
    <n v="19760000"/>
    <s v="Chalet with Marina and Lake View in The Island â€“ Marina 5 â€“ North Coast_x000a_Village: The Island â€“ Marina 5_x000a_Built-in Area: 63 m_x000a_Garden Area: 52 m_x000a_Internal Layout: Bedroom_x000a_Bathroom_x000a_Reception_x000a_Kitchen_x000a_Private Garden_x000a_Delivery Fully Finished_x000a_Direct Marina and Lake View_x000a_Down Payment: EGP 988,000, Installments over 10 Years_x000a_Total Price: EGP 19,760,000"/>
    <s v="Marina 5, Marina, Al Alamein, North Coast"/>
    <x v="0"/>
    <s v="126 sqm"/>
    <x v="3"/>
    <x v="2"/>
    <d v="2025-08-26T00:00:00"/>
    <s v="Installments"/>
    <n v="7"/>
    <s v="988,000 EGP"/>
  </r>
  <r>
    <n v="9000000"/>
    <s v="Penthouse 4BR for sale with Installments over 10 years in Icon Residence - Fifth Settlement - New Cairo._x000a_Area: 262 mآ² + roof_x000a_Consists of (4 bedrooms + 5 bathrooms + reception + kitchen + terrace)_x000a_Private location_x000a_Open view_x000a_Price: 9,000,000_x000a_Payment plan : Installments over 10 years_x000a_For more details, contact us now_x000a_Location of The Icon Residence_x000a_The Icon Residence Compound enjoys a premium location in 5th Settlement, New Cairo, within very close proximity to 90th Road. Thanks to this unique location, The Icon Residence is:_x000a_Only 12 minutes away from New Cairoâ€™s Golden Square_x000a_Just 12 minutes away from American University in Cairoâ€™s (AUC) New Cairo Campus_x000a_30 minutes away from New Administrative Capital City_x000a_30 minutes away from Nasr City_x000a_35 minutes away from Mostakbal City_x000a_36 minutes away from Cairo International Airport_x000a_60 minutes away from 6 October City"/>
    <s v="The Icon Residence, 5th Settlement Compounds, The 5th Settlement, New Cairo City, Cairo"/>
    <x v="3"/>
    <s v="262 sqm"/>
    <x v="1"/>
    <x v="4"/>
    <d v="2025-07-03T00:00:00"/>
    <s v="Installments"/>
    <n v="-4"/>
    <m/>
  </r>
  <r>
    <n v="2770000"/>
    <s v="Stand-alone villa in NYOUM Compound, October_x000a_--------------_x000a_Building area: 370 square meters_x000a_Garden area: 350 square meters_x000a_--------------_x000a_Location:_x000a_- 5 minutes from Dahshur Link_x000a_- 5 minutes from Beverly Hills_x000a_- 10 minutes from Mall of Arabia_x000a_- 10 minutes from Juhayna Square_x000a_- 10 minutes from Arkan Plaza_x000a_- 20 minutes from Alexandria Desert Road_x000a_- 20 minutes from Mohandessin_x000a_--------------_x000a_Services:_x000a_- 24-hour security_x000a_- Electronic gates_x000a_- Surveillance cameras_x000a_- Swimming pools for all ages_x000a_- Water features_x000a_- Green spaces_x000a_- Fully secured garages_x000a_- Kids area_x000a_- Restaurants_x000a_- BBQ areas_x000a_- Schools_x000a_- Bike tracks_x000a_- Tracks For walking_x000a_------------------------------------------_x000a_Required:_x000a_2,770,000 EGP, with the remainder to be paid in installments with the company over 8 years._x000a_For contact and viewing:_x000a_01100531002_x000a_- Calls or WhatsApp_x000a_- ..."/>
    <s v="Nyoum October, Northern Expansions, 6 October City, Giza"/>
    <x v="1"/>
    <s v="370 sqm"/>
    <x v="5"/>
    <x v="4"/>
    <d v="2025-08-26T00:00:00"/>
    <s v="Cash"/>
    <n v="-4"/>
    <m/>
  </r>
  <r>
    <n v="13200000"/>
    <s v="**La Vista Ras El Hikma seaview twinhouse - Ready for Delivery**_x000a_* **Area**: 220 sqm_x000a_* **3 Bedrooms**_x000a_* **3 Bathrooms**_x000a_* **Private Garden**_x000a_**Down Payment**: 13.2 million EGP, with the remaining amount payable in installments over 4 years._x000a_### **Location of La Vista Ras El Hikma:**_x000a_* On the new Fouka Road, which connects Cairo to the North Coast._x000a_* Close to **Sidi Abdel Rahman**, one of the most famous areas there._x000a_* Just a short distance from **New Alamein** and Wadi El-Natrun Road._x000a_* Near **Sidi Hanish**, La Vista Bay, and **Marsa Matrouh**._x000a_* Not far from **Alexandria** and **New Alamein**._x000a_* Surrounding the village are well-known resorts like:_x000a_* La Vista Bay East_x000a_* Marina Ras El Hikma_x000a_* Marassi_x000a_* Caesar Sodic_x000a_---_x000a_### **Services and Amenities - La Vista Ras El Hikma:**_x000a_* **Malls &amp; Shops** â€“ Commercial areas serving residents._x000a_* **Restaurants &amp; Cafes** â€“ Dining and drinks with a beautiful sea view._x000a_* **Green Spaces** â€“ Lush greenery and artificial lakes._x000a_* **Swimming Pools** â€“ For adults and children._x000a_* **Sports Fields** â€“ Football, basketball, and beach sports._x000a_* **Car Parking** â€“ Organized to maintain peace and order._x000a_* **Gym &amp; Spa** â€“ Fitness and relaxation facilities._x000a_* **24/7 Security** â€“ Continuous surveillance._x000a_* **CCTV Cameras** â€“ For security and privacy._x000a_* **Kids Area** â€“ Various games and activities for children._x000a_* **5-Star Hotel** â€“ Comfort and luxury._x000a_* **Amusement &amp; Water Parks** â€“ Fun for both adults and kids."/>
    <s v="La vista Ras El Hikma, Ras Al Hekma, North Coast"/>
    <x v="4"/>
    <s v="220 sqm"/>
    <x v="3"/>
    <x v="5"/>
    <d v="2025-08-25T00:00:00"/>
    <s v="Cash"/>
    <n v="-4"/>
    <m/>
  </r>
  <r>
    <n v="22300000"/>
    <s v="A 195-square-meter duplex + a 42-square-meter roof, ready for immediate delivery, opposite the American University in New Cairo, in Azad Compound, on 90th Street._x000a_The duplex, measuring 195 square meters + a 42-square-meter roof, has a very distinctive layout, consisting of:_x000a_3 bedrooms + 2 bathrooms + a large reception room - a terrace - an American kitchen._x000a_The compound is fully serviced and already occupied._x000a_Location in the Fifth Settlement, in the best location:_x000a_In front of the American University; next to the SODIC Eastown Compound. Located off 90th Street, it's close to the most important malls in the Fifth Settlement, such as Point 90 and the Spot Mall, and minutes away from Cairo Festival City Mall._x000a_Some of the compound's amenities include:_x000a_- Security and guards_x000a_- Surveillance cameras_x000a_- Shopping mall_x000a_- Popular cafes and restaurants_x000a_- Clubhouse_x000a_- Gym, spa, and jacuzzi_x000a_- Green spaces_x000a_- Gardens and artificial lakes_x000a_- Central Wi-Fi_x000a_- Kids area_x000a_- Jogging track_x000a_- Cycling paths_x000a_- Swimming pools_x000a_- Medical center_x000a_For more details, call 01111556367"/>
    <s v="Azad, 5th Settlement Compounds, The 5th Settlement, New Cairo City, Cairo"/>
    <x v="5"/>
    <s v="195 sqm"/>
    <x v="3"/>
    <x v="2"/>
    <d v="2025-08-07T00:00:00"/>
    <s v="Installments"/>
    <n v="9"/>
    <s v="2,230,000 EGP"/>
  </r>
  <r>
    <n v="5000000"/>
    <s v="With Down payment 1 million only Fully Finished Villa direct on The Nile River at Jirian - Mountain View in El Sheikh Zayed by Mountain View......_x000a_Villa 220 sqm- Huge Garden_x000a_3 Bedrooms- 4 Bathrooms- Huge Garden_x000a_*Jirian Mountain View Location in Sheikh Zayed_x000a_-The Jirian El Sheikh Zayed location was ideally chosen, facing the Middle Ring Road. It is situated on 26th of July Corridor, close to many of the unique facilities of 6 of October City and Zayed._x000a_-Jirian El Sheikh Zayed Compound is close to other luxurious developments in the area, such as Palm Hills October. Furthermore, it is a short drive from:_x000a_-Sphinx International Airport_x000a_-Grand Egyptian Museum_x000a_This smartly picked location offers the Jirian Mountain View Compound residents a convenient, seamless living experience. They will be able to easily commute to anywhere they want to go._x000a_Down payment 5% only and the rest over years....._x000a_For more details please contact us....."/>
    <s v="Jirian, New Zayed City, Sheikh Zayed City, Giza"/>
    <x v="6"/>
    <s v="220 sqm"/>
    <x v="3"/>
    <x v="1"/>
    <d v="2025-08-31T00:00:00"/>
    <s v="Installments"/>
    <n v="-4"/>
    <m/>
  </r>
  <r>
    <n v="9300000"/>
    <s v="â€¢ Chalet In || Gouna ||:_x000a_- Layout: 1 Bedroom, 2 Bathroom_x000a_- Built-Up Area (BUA): 80m_x000a_For More Information: 01202737166_x000a_=======================================_x000a_Nearby Places &amp; Travel Time from El Gouna_x000a_Hurghada: 30 mins â€“ Shopping, airport, nightlife_x000a_Makadi Bay &amp; Sahl Hasheesh: 1 hr â€“ Resorts &amp; diving_x000a_Soma Bay: 1.5 hrs â€“ Beaches, golf, water sports_x000a_Desert Monasteries: A few hours â€“ Historic Christian sites_x000a_Bedouin Villages: A few hours â€“ Desert safari &amp; culture_x000a_For More Information: 01202737166_x000a_=======================================_x000a_Facilities in El Gouna_x000a_Accommodation: Resorts, hotels, rentals_x000a_Dining &amp; Entertainment: 100+ restaurants, cafes, nightlife_x000a_Sports: Golf, diving, kitesurfing, land activities_x000a_Wellness: Spas, yoga, fitness clubs_x000a_Marinas: Abu Tig &amp; New Marina with yacht services_x000a_Shopping: Boutiques, fashion, souvenirs_x000a_Medical: Hospitals, clinics, pharmacies_x000a_Transportation: Tuk-tuks, shuttles, bikes_x000a_Education &amp; Business: International schools, university, co-working_x000a_Culture: Art galleries, music festivals, events_x000a_Nightlife: Beach clubs, bars, live music_x000a_For More Information: 01202737166_x000a_=======================================_x000a_#GOUNA_x000a_#SOMA_BAY_x000a_#MAKADI_x000a_#PROPERTIES_FOR_SALE_IN_KAMARAN_x000a_#2_BEDROOM_PROPERTIES_FOR_SALE_IN_KAMARAN_x000a_#1_BEDROOM_PROPERTIES_FOR_SALE_IN_KAMARAN_x000a_#APARTMENTS_FOR_SALE_IN_KAMARAN_x000a_#FURNISHED_PROPERTIES_FOR_SALE_IN_KAMARAN_x000a_#PROPERTIES_FOR_SALE_IN_MANGROOVY_x000a_#2_BEDROOM_PROPERTIES_FOR_SALE_IN_MANGROOVY_x000a_#FURNISHED_PROPERTIES_FOR_SALE_IN_MANGROOVY_x000a_#VILLAS_FOR_SALE_IN_MANGROOVY_x000a_#PROPERTIES_FOR_SALE_IN_SWAN_LAKE_GOUNA_x000a_#CHALETS_FOR_SALE_IN_KAMARAN_x000a_#2_BEDROOM_CHALETS_FOR_SALE_IN_KAMARAN_x000a_#1_BEDROOM_CHALETS_FOR_SALE_IN_KAMARAN_x000a_#FURNISHED_CHALETS_FOR_SALE_IN_KAMARAN_x000a_#FURNISHED_2_BEDROOM_CHALETS_FOR_SALE_IN_KAMARAN_x000a_#CHALETS_FOR_SALE_IN_MANGROOVY_x000a_#2_BEDROOM_CHALETS_FOR_SALE_IN_MANGROOVY_x000a_#1_BEDROOM_CHALETS_FOR_SALE_IN_MANGROOVY_x000a_#CHALETS_FOR_SALE_IN_SWAN_LAKE_GOUNA_x000a_#FURNISHED_CHALETS_FOR_SALE_IN_MANGROOVY"/>
    <s v="Mangroovy Residence, Al Gouna, Hurghada, Red Sea"/>
    <x v="0"/>
    <s v=" 75 sqm"/>
    <x v="0"/>
    <x v="2"/>
    <d v="2025-08-31T00:00:00"/>
    <s v="Cash"/>
    <n v="-4"/>
    <m/>
  </r>
  <r>
    <n v="10000000"/>
    <s v="Fully finished chalet with air conditioning for sale at Silver Sands, North Coast_x000a_Double-sided chalet with direct sea view, first row, prime location_x000a_Prime location in Sidi Heneish, at kilometer 246_x000a_80% of the chalets have a sea view_x000a_-------_x000a_Chalet Details_x000a_Hotel-style finishing with air conditioning_x000a_Area: 130 square meters_x000a_2 master bedrooms with private bathrooms_x000a_Private dressing room_x000a_Bedroom_x000a_Bathroom_x000a_Kitchen_x000a_Down payment: 800,000, the rest in installments over 8 years_x000a_For inquiries, call me at 01121414098_x000a_Village Location:_x000a_Near Marassi_x000a_Minutes from Hacienda Heneish_x000a_Minutes from Marsa Bagoush_x000a_Minutes from Silver Sands_x000a_Minutes from Almaza Bay_x000a_Services inside The Compound:_x000a_24-hour security and guarding_x000a_Restaurants and cafes_x000a_Full-service mall_x000a_Strategic location_x000a_Integrated entertainment services_x000a_Private paved beaches_x000a_Close to vital areas_x000a_Full-service gym_x000a_Green spaces and lagoon"/>
    <s v="Almaza Bay, Qesm Marsa Matrouh, North Coast"/>
    <x v="2"/>
    <s v="140 sqm"/>
    <x v="2"/>
    <x v="0"/>
    <d v="2025-07-17T00:00:00"/>
    <s v="Cash"/>
    <n v="7"/>
    <s v="900,000 EGP"/>
  </r>
  <r>
    <n v="20000000"/>
    <s v="Luxury Chalet 3 Bedroom With Full Sea View In Prime Location Early Delivery In June By Sodic Over 9 Years Installments_x000a_Discover modern living at its finest with this beautifully finished Chalet in June by SODIC. This elegant home offers a serene Lagoon View, combining luxury and tranquility in one of the most sought-after communities._x000a_Unit Details :_x000a_Built Up Area : 160 SQM_x000a_Number Of Bedrooms : 3_x000a_Number Of Bathrooms : 3_x000a_Fully Finished + ACs_x000a_Payment Plan : Over 8 Years Installments_x000a_About June:_x000a_June Resort is a premier destination that redefines luxury and relaxation. The project was developed by the real estate giant, Sodic, across a massive area of over 280 acres of land in the North Coast._x000a_June Sodic North Coast is not just a place for relaxation or enjoying the best, itâ€™s a project filled with endless facilities, stunning views, a premium location that is near many resorts in North Coast, and upscale properties for sale that cater to vacationers needs and budgets._x000a_Location:_x000a_June is exactly located on the 193rd km of Alexandria - Marsa Matrouh Road. It's near many key destinations in the North Coast._x000a_It's only 5 minutes away from Caesar._x000a_The June Sodic is a mere 10 minutes away from Dabaa Road._x000a_June is 30 minutes away from Sidi Abdel Rahman_x000a_The resort is 45 minutes away from Alamein Road."/>
    <s v="Caesar, Qesm Marsa Matrouh, North Coast"/>
    <x v="0"/>
    <s v="160 sqm"/>
    <x v="3"/>
    <x v="5"/>
    <d v="2025-09-02T00:00:00"/>
    <s v="Installments"/>
    <n v="-4"/>
    <m/>
  </r>
  <r>
    <n v="3341100"/>
    <s v="Looking for elegant apartment with luxurious finishing? This modern unit offers a bright and airy living space, premium-quality interiors, and a prime location just minutes from the sea. The residence features world-class amenities, including a swimming pool, a fully equipped gym, and lush green spaces. Whether you're seeking a permanent home or a profitable investment, this is the perfect opportunity. Contact us today to book your viewing!_x000a_Apartment Size: 74mآ²_x000a_Ultra Super Lux Hotel Finishing_x000a_Delivery: By the end of 2026_x000a_Payment Plan:_x000a_20% down payment with installments over 3 years_x000a_30% down payment with installments over 4 years_x000a_40% down payment with installments over 5 years_x000a_50% down payment with installments over 5 years_x000a_25% discount for cash payments_x000a_Prime Location in the Heart of Hurghada:_x000a_7-minute walk to the beaches_x000a_10 minutes from Hurghada International Airport_x000a_5 minutes to Downtown &amp; Sheraton Street_x000a_3 minutes to Kawther area &amp; the Bank District_x000a_Contact us now for more details!_x000a_01210010036"/>
    <s v="El Hadaba District, Hurghada, Red Sea"/>
    <x v="2"/>
    <s v=" 74 sqm"/>
    <x v="0"/>
    <x v="0"/>
    <d v="2025-08-30T00:00:00"/>
    <s v="Cash"/>
    <n v="9"/>
    <s v="1,002,330 EGP"/>
  </r>
  <r>
    <n v="18000000"/>
    <s v="Unit Type: Duplex_x000a_2 Bedrooms_x000a_Built Up Area: 128 sqm_x000a_Unit Price: 18,000,000_x000a_Down Payment: 15,274,000_x000a_EBP â€“ Your Gouna-Based Real Estate Partner_x000a_Based in El Gouna, EBP offers complete property services: sales, rentals, finishing, furnishing, and free professional photography._x000a_El Gouna is just 25 minutes from Hurghada Airport â€” a fully integrated town with schools, university, hospitals, and marinas._x000a_Live, invest, and relax in style â€” EBP makes it easy._x000a_APT Ready To Move Fully Furnished In Shedwan Gouna"/>
    <s v="Mangroovy Residence, Al Gouna, Hurghada, Red Sea"/>
    <x v="5"/>
    <s v="128 sqm"/>
    <x v="2"/>
    <x v="5"/>
    <d v="2025-09-01T00:00:00"/>
    <s v="Cash"/>
    <n v="9"/>
    <s v="5,000,000 EGP"/>
  </r>
  <r>
    <n v="3150000"/>
    <s v="Taj City Compound - New Cairo_x000a_Fifth Settlement_x000a_On Suez Road and in front of Cairo Airport_x000a_For Sale at the Lowest Price_x000a_Studio for Sale at Less than the Company Price_x000a_Installments over a Year_x000a_Area: 64 m_x000a_Bedroom_x000a_Bathroom_x000a_Prime Location_x000a_Cash Required: EGP 3,150,000_x000a_Remaining EGP 215,880 in installments over a Year_x000a_Total Price Includes Garage_x000a_________________________________________________________x000a_For more information, please call or send a WhatsApp message._x000a_________________________________________________________x000a_Services Provided by inST8_x000a_1. Primary Market Sales_x000a_â€¢ Assisting clients in purchasing new properties directly from developers (residential, commercial, and administrative units)._x000a_3. Rental Services_x000a_â€¢ Facilitating the rental of residences and vacation homes._x000a_4. Property Portfolio Management_x000a_â€¢ Providing advice and strategies tailored to optimize clients' real estate investments._x000a_â€¢ Managing property portfolios to maximize returns and ensure smooth operations._x000a_5. Consulting Services_x000a_â€¢ Providing investment advice to guide clients toward the best opportunities._x000a_â€¢ Assisting investors in growing wealth through smart real estate decisions._x000a_6. Property Listing and Marketing_x000a_â€¢ Leveraging advanced technology tools and innovative marketing strategies to maximize exposure for listed properties._x000a_â€¢ Providing effective lead generation to ensure faster sales and rentals."/>
    <s v="Taj City, 5th Settlement Compounds, The 5th Settlement, New Cairo City, Cairo"/>
    <x v="2"/>
    <s v=" 64 sqm"/>
    <x v="0"/>
    <x v="0"/>
    <d v="2025-08-31T00:00:00"/>
    <s v="Cash"/>
    <n v="-4"/>
    <m/>
  </r>
  <r>
    <n v="29310000"/>
    <s v="Developer: Orascom_x000a_Project: Makadi Heights_x000a_Unit Details: Townhouse_x000a_Built-Up Area: 135 sqm_x000a_Private Garden_x000a_Bedrooms: 3_x000a_Bathrooms: 4_x000a_Ready for Immediate Delivery_x000a_===========_x000a_For More Information:_x000a_Mahmoud Gamal_x000a_Phone: 01200024097_x000a_=========_x000a_About Makadi Heights_x000a_Makadi Heights is a unique, fully integrated resort located in Makadi Bay â€“ Hurghada. Developed by Orascom Development, the project has already welcomed its first residents and visitors since 2022._x000a_Spanning a massive 1,000 acres, only 12% of the land is allocated for construction, while the remaining 88% is dedicated to lush landscapes, water features, lakes, and flowing streams._x000a_Makadi Heights boasts a land bank of 3.7 million square meters, with over 1 million sqm planned for development. Itâ€™s strategically located in the heart of Makadi Bay on the Red Sea._x000a_Sitting 70 meters above sea level, Makadi Heights promises breathtaking views. Its elevated location offers expansive panoramic vistas of the Red Sea and coastline in every direction._x000a_Conveniently accessible from Hurghada International Airport, and located just down the coast from El Gouna, Makadi Heights is a stunning masterpiece designed to fully meet the needs of its growing community. Its unique approach delivers everything you needâ€”with minimal effort."/>
    <s v="Makadi Orascom Resort, Makadi, Hurghada, Red Sea"/>
    <x v="0"/>
    <s v="150 sqm"/>
    <x v="3"/>
    <x v="1"/>
    <d v="2025-09-01T00:00:00"/>
    <s v="Installments"/>
    <n v="10"/>
    <s v="11,724,000 EGP"/>
  </r>
  <r>
    <n v="14127000"/>
    <s v="Chalet for sale in Hacienda Waters, North Coast_x000a_2 bedrooms_x000a_1 bathroom_x000a_Kitchen_x000a_Reception_x000a_Fully finished_x000a_Sea view_x000a_Price: 14,127,000_x000a_2.5% down payment_x000a_12-year installments_x000a_Smart Move is a full-service, fast-growing real estate marketing/brokerage company in Egypt. Established in 2011, Smart Move is headquartered in Cairo. With our professional and committed team, we offer exceptional real estate services in Egypt, providing you, whether a buyer, seller, individual, or organization, with exceptional and personalized service tailored to your needs and requirements . We deeply understand the Egyptian real estate market and the needs of our clients.   We have a huge network of the most trusted developers in Egypt and franchise different networks in New Cairo, 6th of October, North Coast and Ain Sokhna."/>
    <s v="Hacienda Waters, Qesm Ad Dabaah, North Coast"/>
    <x v="0"/>
    <s v=" 72 sqm"/>
    <x v="2"/>
    <x v="0"/>
    <d v="2025-09-02T00:00:00"/>
    <s v="Installments"/>
    <n v="7"/>
    <s v="353,175 EGP"/>
  </r>
  <r>
    <n v="16800000"/>
    <s v="CAESAR BY OGAMI_x000a___________________________________________________________________________________________________x000a_Own Your Finished Chalet With Sea View Over 8 Years Installments_x000a___________________________________________________________________________________________________x000a_UNIE DETAILS:_x000a_BUA 150 SQM_x000a_2 BEDROOMS_x000a_3 BATHROOMS_x000a_SEA VIEW_x000a_FULLY FINISHED_x000a_SEAVIEW_x000a_LAGOONVIEW_x000a_BEACHES_x000a_WATER SPORTS_x000a_PRIME LOCATION_x000a___________________________________________________________________________________________________x000a_FOR MORE INFORMATION: 01225568934_x000a_FOR MORE INFO: 01225568934_x000a___________________________________________________________________________________________________x000a_Caesar Sodic North Coast is an elite coastal project, nestled in Ras El Hekma with 1km of beachfront. It is an ultimate vacation destination for this mesmerizing summer, developed with simplicity and luxury in mind._x000a_The resort evokes carefree seashore summers from the distant past. Nearly all of the residents have unhindered views of the Mediterranean because the beach houses of Caesar Ras El Hekma are constructed on terraces._x000a_Sodic developed Caesar North Coast Resort over 192 acres of land in Ras El Hekma. The project is ideally situated on the 202nd km of International Coastal Road, also known as Alexandria - Marsa Matrouh Road._x000a_Caesar Sodic North Coast is a perfect seaside haven, where you may revel in a paradisiacal hideaway with a special blend of simplicity, isolation, and peace."/>
    <s v="Caesar, Qesm Marsa Matrouh, North Coast"/>
    <x v="0"/>
    <s v="150 sqm"/>
    <x v="2"/>
    <x v="5"/>
    <d v="2025-08-31T00:00:00"/>
    <s v="Cash"/>
    <n v="7"/>
    <s v="100,000 EGP"/>
  </r>
  <r>
    <n v="9000000"/>
    <s v="Area : New Heliopolis_x000a_Project : Talala_x000a_Type: Apartment_x000a_Number of Bedrooms: 3_x000a_Built-up Area: 125 SQM_x000a_Finishing Status: Fully Finished_x000a_Down payment : 5%_x000a_Installments 10 years_x000a_Delivery date: 2029_x000a_About Talala_x000a_Talala New Heliopolis is one of the luxurious developments by Madinet Masr in the east of Cairo. The compound offers a wide range of unmatched amenities, granting its homeowners a contemporary, convenient, and elegant living experience._x000a_The Talala Madinet Masr Compound's prime location ensures its residentsâ€™ seamless connectivity and peace of mind. It is ideally situated in New Heliopolis, in proximity to many of east of Cairoâ€™s prominent areas, such as New Cairo and Mostakbal City."/>
    <s v="Talala, New Heliopolis Compounds, New Heliopolis, Cairo"/>
    <x v="2"/>
    <s v="125 sqm"/>
    <x v="3"/>
    <x v="5"/>
    <d v="2025-09-02T00:00:00"/>
    <s v="Installments"/>
    <n v="7"/>
    <s v="450,000 EGP"/>
  </r>
  <r>
    <n v="9900000"/>
    <s v="apartment for Sale â€“ Club Hills Residence by HDP_x000a_BUA: 170 mآ²_x000a_3 Bedrooms_x000a_3 Bathrooms_x000a_every quater pay :90,000_x000a_Semi-Finished_x000a_Delivery Date: August 31, 2028_x000a_Located within Club Hills Residence by Housing and Development Properties (HDP), this apartment offers modern living with a functional layout and a private terrace for extra comfort."/>
    <s v="Palm Parks   Palm Hills, South Dahshur Link, 6 October City, Giza"/>
    <x v="2"/>
    <s v="170 sqm"/>
    <x v="3"/>
    <x v="5"/>
    <d v="2025-08-31T00:00:00"/>
    <s v="Cash"/>
    <n v="-4"/>
    <m/>
  </r>
  <r>
    <n v="14100000"/>
    <s v="Solare â€“ Ras El Hekma: A world-class coastal experience on the most beautiful beaches of the North Coast._x000a_Live your summer dreamily at Solare by Misr Italia, located at kilometer 199 in Ras El Hekma, one of the purest and rarest spots on the North Coast, with turquoise waters and enchanting white sand._x000a_Area: 100 m_x000a_- Two bedrooms (one master)_x000a_- Bathroom_x000a_- Reception_x000a_- Terrace overlooking the sea and Crystal Lagoon_x000a_Down payment: 5% starting from EGP 550,000_x000a_Remaining balance: Installments up to 12 years interest-free_x000a_The project offers a unique experience inspired by the spirit of Italian cities, with delightful European designs, carefully thought-out green spaces, and a lagoon running the length of the compound. Units include:_x000a_Chalets, townhouses, villas, and seaside cabins, with luxurious finishes and a variety of spaces to suit every family's needs._x000a_Integrated Services:_x000a_Lagoons â€“ Private Beach â€“ 5 International Hotels â€“ Coastal Promenade â€“ Beachfront Cafes and Restaurants â€“ Water Activities â€“ Swimming Pools â€“ Gym â€“ Kids Area â€“ Hotel Services._x000a_Very Flexible Payment Plans: Down Payment Starting at 5% and Installments Over 8 Years._x000a_Solari is a luxurious summer lifestyle destination that combines beauty, tranquility, and high-level service."/>
    <s v="Solare, Ras Al Hekma, North Coast"/>
    <x v="0"/>
    <s v="100 sqm"/>
    <x v="2"/>
    <x v="0"/>
    <d v="2025-07-30T00:00:00"/>
    <s v="Cash"/>
    <n v="7"/>
    <s v="705,000 EGP"/>
  </r>
  <r>
    <n v="14100000"/>
    <s v="Chalet 3BR Lagoon View â€“ The Med Ras El Hekma by People &amp; Places_x000a_BUA: 147 mآ²_x000a_Bedrooms: 3_x000a_Bathrooms: 3_x000a_Finishing: Fully Finished_x000a_View: Lagoon View_x000a_Payment Plan: Up to 10 Years Installments_x000a_Discover the elegance of coastal living in The Med Ras El Hekma by People &amp; Places. This 3-bedroom chalet spans 147 mآ² and is designed with modern layouts, spacious interiors, and seamless flow between living areas. With its stunning lagoon view, the unit offers a serene and refreshing lifestyle, perfect for family vacations or year-round living._x000a_The Med is a fully integrated community featuring swimmable lagoons, vast greenery, cycling &amp; walking promenades, direct beach access, and exclusive clubhouses. The project also includes dining venues, retail promenades, and leisure facilities, ensuring a vibrant community lifestyle._x000a_Developed by People &amp; Places, this project guarantees exceptional quality, contemporary finishing, and an attractive long-term investment opportunity. With a flexible payment plan of up to 10 years, this chalet is not only a dream home but also a smart investment in Ras El Hekmaâ€™s most prestigious address."/>
    <s v="The Med, Ras Al Hekma, North Coast"/>
    <x v="0"/>
    <s v="147 sqm"/>
    <x v="3"/>
    <x v="5"/>
    <d v="2025-09-01T00:00:00"/>
    <s v="Cash"/>
    <n v="-4"/>
    <m/>
  </r>
  <r>
    <n v="5382000"/>
    <s v="nnouncing Oro Beach Project â€“ Hurghada, Al Ahyaa Area_x000a_Discover a new level of luxury living at Oro Beach, a premium residential and touristic project located directly on the Red Sea in the sought-after Al Ahyaa area of Hurghada._x000a_Project Highlights:_x000a_Prime beachfront location in Al Ahyaa, Hurghada_x000a_Private beach with stunning sea views_x000a_Swimming pools for adults and children_x000a_Modern unit designs with sea-facing balconies_x000a_24/7 security and full hotel-style services_x000a_Flexible payment plans and competitive prices are available. Own your dream home by the sea today._x000a_For inquiries or reservations:_x000a_Contact us at [01020742072]"/>
    <s v="Al Ahyaa District, Hurghada, Red Sea"/>
    <x v="2"/>
    <s v=" 78 sqm"/>
    <x v="0"/>
    <x v="0"/>
    <d v="2025-05-07T00:00:00"/>
    <s v="Cash"/>
    <n v="7"/>
    <s v="538,200 EGP"/>
  </r>
  <r>
    <n v="11530000"/>
    <s v="Resale ground duplex in Ivoire Compound_x000a_bua 240 sqm_x000a_garden 86 sqm_x000a_core and shell_x000a_Delivery 2027_x000a_4 bedrooms_x000a_4 bathrooms_x000a_Unit price :_x000a_Total 11,530,000_x000a_D. p 4,000,000_x000a_all the phase is duplexes only , only 2 units in the building_x000a_Company profile :_x000a_We are RE/MAX EVEREST, a Franchise of RE/MAX, the World's No. 1 Real Estate Brokerage Brand._x000a_With more than 120,000 Agents in 8,400+ offices in 115 countries, we are presently the fastest growing real estate network in Egypt and the Middle East."/>
    <s v="Ivoire, Sheikh Zayed City, Giza"/>
    <x v="5"/>
    <s v="240 sqm"/>
    <x v="1"/>
    <x v="1"/>
    <d v="2025-09-01T00:00:00"/>
    <s v="Cash"/>
    <n v="9"/>
    <s v="4,000,000 EGP"/>
  </r>
  <r>
    <n v="28000000"/>
    <s v="Own a stunning one-story Twinhouse in Olive Oasis, perfectly positioned directly on the lagoon for an unmatched waterfront lifestyle._x000a_With a BUA of 187 sqm, this home is designed for comfort, privacy, and elegance._x000a_Compound Features:_x000a_- Crystal lagoons &amp; private sandy beach_x000a_- Swimming pools &amp; ladies-only pool_x000a_- Clubhouse, gym, spa, and wellness center_x000a_- Green landscapes &amp; botanical gardens_x000a_- Cycling &amp; jogging tracks_x000a_- Restaurants, cafes, and retail promenade_x000a_- Strategic location on the North Coast_x000a_A rare opportunity to own a lagoon-front Twinhouse in one of the North Coastâ€™s most prestigious communities."/>
    <s v="Solare, Ras Al Hekma, North Coast"/>
    <x v="4"/>
    <s v="187 sqm"/>
    <x v="3"/>
    <x v="5"/>
    <d v="2025-08-31T00:00:00"/>
    <s v="Cash"/>
    <n v="9"/>
    <s v="1,400,000 EGP"/>
  </r>
  <r>
    <n v="3500000"/>
    <s v="Prime Studio for Sale in One of the Most Prestigious Phases of Madinaty â€“ B8_x000a_Area: 45 sqm | Sea View | Main Street View | Old Booking | Commercial Offer_x000a_A rare investment opportunity â€“ Old booking with a commercial offer that is 3 million EGP less than the companyâ€™s current price._x000a_Location: Madinaty â€“ Phase B8_x000a_Area: 45 sqm_x000a_Orientation: North-facing (Sea Breeze)_x000a_View: Open main street view (not park view)_x000a_Unit Details:_x000a_1 Bedroom_x000a_1 Bathroom_x000a_Reception area_x000a_Terrace_x000a_Payment Plan:_x000a_Down payment required now: 900,000 EGP_x000a_Remaining balance on 10-year installment plan_x000a_Monthly installment: 15,000 EGP_x000a_Annual installment: 155,000 EGP_x000a_Total contract value is one of the best in the market with flexible payment terms_x000a_Delivery within 2 years_x000a_Unit Highlights:_x000a_North-facing (sea breeze) for natural ventilation and lighting_x000a_Direct view of an open main street (not facing a park)_x000a_Early booking with significant price advantage_x000a_Long-term installment plan available (up to 10 years)_x000a_For more information and inquiries:_x000a_Adham Amr_x000a_Mobile: +20 112 555 5249_x000a_EXPERTS Real Estate Marketing_x000a_Office No. S10 â€“ East Business Hub â€“ Madinaty â€“ New Cairo_x000a_We provide a wide range of residential, commercial, and administrative units across Madinaty and New Cairo."/>
    <s v="Madinaty, Cairo"/>
    <x v="2"/>
    <s v=" 45 sqm"/>
    <x v="0"/>
    <x v="0"/>
    <d v="2025-08-21T00:00:00"/>
    <s v="Installments"/>
    <n v="7"/>
    <s v="900,000 EGP"/>
  </r>
  <r>
    <n v="9085000"/>
    <s v="Apartment for sale with facilities in Bloomfields - Mostakbal City_x000a_BUA : 153 sqm_x000a_Fully finished_x000a_2 bedrooms -2 bathrooms_x000a_Sale price : 9,085,000 EGP_x000a_Down payment : 450,406EGP_x000a_Rest over 5  years_x000a_Delivery Date : 2 Years_x000a_====================_x000a_Bloomfield Mostakbal City services:_x000a_Providing a lot of quiet areas surrounded by green spaces and scattered gardens, so that residents can spend an enjoyable time away from the outside noise._x000a_Providing a spa and gym that contains all the sports equipment that customers need._x000a_The presence of a track dedicated to walking and riding the calf._x000a_The presence of a social club to spend the most enjoyable times._x000a_The presence of restaurants and cafes in more than one place within the project._x000a_Providing gardens for hiking and spending a special time._x000a_A 24-hour security presence to protect residents, with a number of surveillance cameras to ensure safety in the place._x000a_The presence of Crystal Lagoon._x000a_Availability of international schools to save time for the residents of the compound._x000a_The presence of areas designated for parties and barbecue places._x000a_The presence of a smart home system in the units._x000a_Club House._x000a_A commercial area with many malls where all international brands are located._x000a_Many artificial fountains that give the place a joy, and artificial lakes, whose waters are characterized by turquoise colors._x000a_Availability of a dedicated car park for the residents of the project._x000a_------------------------------_x000a_Apartments for sale in Mostakbal City compounds_x000a_- Properties for sale in Bloomfields_x000a_- Apartments for sale in Bloomfields_x000a_- Houses and villas for sale in Bloomfields_x000a_- Penthouse (roof) for sale in Bloomfields_x000a_- 3 bedroom apartments for sale in Bloomfields_x000a_Apartments for sale in Mostakbal City compounds Ready To Move"/>
    <s v="Bloomfields, Mostakbal City Compounds, Mostakbal City - Future City, Cairo"/>
    <x v="2"/>
    <s v="153 sqm"/>
    <x v="2"/>
    <x v="2"/>
    <d v="2025-07-15T00:00:00"/>
    <s v="Cash"/>
    <n v="-4"/>
    <m/>
  </r>
  <r>
    <n v="4000000"/>
    <s v="RTM townhouse in Badya Palm Hills, 6th of October,_x000a_184 sqm._x000a_3 bedrooms and 3 bathrooms_x000a_Nannys room_x000a_a private garden_x000a_- Down payment of  4 million EGP, with the rest in flexible installments over 8 years._x000a_**Location of Badya Palm Hills Project, 6th of October:**_x000a_- Minutes away from New Giza and Al Khamayel._x000a_- Close to Hyper One and Mall of Arabia._x000a_- Located near Zayed Central Park and Mall of Egypt._x000a_- Just steps away from the 26th of July Corridor._x000a_- Close to Royal City._x000a_- Minutes from Dream Park and Police Mosque._x000a_- Near the Middle Ring Road._x000a_- Close to Juhayna Square and Sphinx International Airport._x000a_**Services and Amenities at Badya Palm Hills, 6th of October:**_x000a_- Badya App, an application to control your home details with a smart home system._x000a_- Shopping malls and entertainment areas._x000a_- International schools and universities nearby._x000a_- City-wide Wi-Fi network._x000a_- Olympic swimming pools, plus pools for women and children._x000a_- Sports clubs with tennis and golf courts._x000a_- Dedicated space for horse riding._x000a_- Squash courts._x000a_- Cinemas and theaters._x000a_- Touristic promenade for jogging and cycling._x000a_- Green spaces and artificial lakes throughout the compound._x000a_- Kids' play area._x000a_- Administrative offices and medical clinics._x000a_- Health club with spa, sauna, and jacuzzi._x000a_- Social club for leisure time._x000a_- Dedicated space for yoga and meditation._x000a_- Private garage for each unit with a separate entrance and exit._x000a_- Restaurants and cafes complex."/>
    <s v="Badya Palm Hills, 6 October Compounds, 6 October City, Giza"/>
    <x v="7"/>
    <s v="186 sqm"/>
    <x v="3"/>
    <x v="5"/>
    <d v="2025-08-19T00:00:00"/>
    <s v="Cash"/>
    <n v="-4"/>
    <m/>
  </r>
  <r>
    <n v="18000000"/>
    <s v="have a fully finished penthouse  for you in prime location  Ras El Hekma Compound_x000a_-bedroom chalet  103 square meters._x000a_Direct lagoon view._x000a_Sea view._x000a_Master bedroom and its own bathroom._x000a_Bedroom._x000a_Kitchen._x000a_Toilet._x000a_Super deluxe finishing+ac+kitchen_x000a_================_x000a_Payment Plan_x000a_Down payments starting from 0% and installments over several years without interest_x000a_Receipt soon_x000a_======================_x000a_Project Location_x000a_At Kilo 214 Ras Hekma, next alamza bay_x000a_30 minutes from New Alamein_x000a_20 minutes from Sidi Abdel Rahman_x000a_10 minutes from Ras El Hekma Bay_x000a_=======================_x000a_Project Services_x000a_45 Acres Crystal Lagoon with 12k sandy beach._x000a_5 Star Hotel TANOAK_x000a_2 Beach Club House._x000a_2 Lagoon Club House._x000a_Commercial area (Retail &amp; FB) AZHA Downtown_x000a_âپ Sports Club_x000a_- âپ Gym"/>
    <s v="Beit Al Bahr, Sidi Heneish, North Coast"/>
    <x v="0"/>
    <s v="102 sqm"/>
    <x v="2"/>
    <x v="2"/>
    <d v="2025-09-02T00:00:00"/>
    <s v="Cash"/>
    <n v="-4"/>
    <m/>
  </r>
  <r>
    <n v="8000000"/>
    <s v="Enjoy a European lifestyle in Mountain View, strategically located in the heart of the Fifth Settlement, near major highways and roads, and minutes away from the American University._x000a_Finished apartment ready for delivery in Mountain View at the lowest price._x000a_Apartment area: 125 square meters_x000a_2 bedrooms (master bedroom)_x000a_2 bathrooms_x000a_Reception_x000a_Terrace overlooking Crystal Lagoon_x000a_Down payment starting: only EGP 450,000_x000a_Payment options:_x000a_Down payment starting from 5% and flexible installments up to 8 years._x000a_The compound combines classic architectural design with open green gardens, allowing you to live in a peaceful and safe environment away from the hustle and bustle of the city, yet close to all amenities._x000a_Available units:_x000a_Apartments, penthouses, townhouses, twin houses, and standalone villas, with various sizes, luxurious finishes, and stunning views._x000a_Mountain View amenities include:_x000a_Extensive green spaces, artificial lakes, swimming pools, cafes and restaurants, a sports and social club, children's entertainment areas, and 24/7 security and maintenance."/>
    <s v="Mountain View iCity, 5th Settlement Compounds, The 5th Settlement, New Cairo City, Cairo"/>
    <x v="2"/>
    <s v="125 sqm"/>
    <x v="2"/>
    <x v="0"/>
    <d v="2025-08-11T00:00:00"/>
    <s v="Cash"/>
    <n v="7"/>
    <s v="500,000 EGP"/>
  </r>
  <r>
    <n v="3900000"/>
    <s v="Why Choose to Live in Cavali Residence?_x000a_A prime location in the heart of New Cairo â€“ Golden Square_x000a_Just 1 minute away from Al Ahly Club_x000a_Next to Mountain View and Palm Hills_x000a_Very close to all main roads for easy access everywhere_x000a_Top Features Youâ€™ll Love:_x000a_Competitive prices starting from EGP 40,000 per sqm_x000a_Architectural design supervised by Consultant Mohamed Hafez_x000a_A master plan inspired by the most beautiful North Coast resorts_x000a_Premium management &amp; operations by MRP International_x000a_Developed by El Basiony Real Estate, established in 2018 with a strong track record in New Damietta and New Mansoura_x000a_All these premium features at unbeatable prices compared to the location &amp; lifestyle!_x000a_For more details: 010 99226796"/>
    <s v="Solay, 5th Settlement Compounds, The 5th Settlement, New Cairo City, Cairo"/>
    <x v="2"/>
    <s v="125 sqm"/>
    <x v="2"/>
    <x v="2"/>
    <d v="2025-08-20T00:00:00"/>
    <s v="Cash"/>
    <n v="7"/>
    <s v="390,000 EGP"/>
  </r>
  <r>
    <n v="25540000"/>
    <s v="Get your Villa in a prime location In Hear Of New Cairo Fully Finished_x000a_and Delivered after 3 Years With All Facilities ._x000a_Unit Details ;_x000a_4 bedrooms_x000a_5 bathrooms_x000a_Kitchen_x000a_Reception_x000a_garden + terrace_x000a_---------------------------------------------_x000a_Compound services:_x000a_Landscape_x000a_Track for walking and running_x000a_Swimming pools_x000a_Social club_x000a_sports club_x000a_Gym, spa and jacuzzi_x000a_Club House_x000a_---------------------------------------------------------------------------"/>
    <s v="Palm Hills New Cairo, 5th Settlement Compounds, The 5th Settlement, New Cairo City, Cairo"/>
    <x v="1"/>
    <s v="260 sqm"/>
    <x v="1"/>
    <x v="4"/>
    <d v="2025-09-02T00:00:00"/>
    <s v="Installments"/>
    <n v="9"/>
    <s v="1,250,000 EGP"/>
  </r>
  <r>
    <n v="2992500"/>
    <s v="Looking for elegant apartment with luxurious finishing? This modern unit offers a bright and airy living space, premium-quality interiors, and a prime location just minutes from the sea. The residence features world-class amenities, including a swimming pool, a fully equipped gym, and lush green spaces. Whether you're seeking a permanent home or a profitable investment, this is the perfect opportunity. Contact us today to book your viewing!_x000a_Apartment Size: 59mآ²_x000a_Ultra Super Lux Hotel Finishing_x000a_Delivery: By the end of 2026_x000a_Payment Plan:_x000a_20% down payment with installments over 3 years_x000a_30% down payment with installments over 4 years_x000a_40% down payment with installments over 5 years_x000a_50% down payment with installments over 5 years_x000a_25% discount for cash payments_x000a_Prime Location in the Heart of Hurghada:_x000a_7-minute walk to the beaches_x000a_10 minutes from Hurghada International Airport_x000a_5 minutes to Downtown &amp; Sheraton Street_x000a_3 minutes to Kawther area &amp; the Bank District_x000a_Contact us now for more details!_x000a_01210010036"/>
    <s v="El Hadaba District, Hurghada, Red Sea"/>
    <x v="2"/>
    <s v=" 59 sqm"/>
    <x v="0"/>
    <x v="0"/>
    <d v="2025-08-30T00:00:00"/>
    <s v="Cash"/>
    <n v="7"/>
    <s v="897,750 EGP"/>
  </r>
  <r>
    <n v="71500000"/>
    <s v="standalone Villa In Belle Vie By Emaar Misr_x000a_Phase Evergreen_x000a_Very Prime Location Overlooking Wide Landscape View_x000a_Built-Up Area 403 Meters_x000a_Land Area 391 Meters_x000a_7 Bedrooms 3 Master_x000a_5 Bathrooms_x000a_Maidâ€™s Room With Bathroom_x000a_Utility Rooms_x000a_Powder Room_x000a_2 Carport_x000a_Fully Finished_x000a_Delivery 2027_x000a_Total Price: 71,500,000_x000a_Down Payment: 31,880,035_x000a_Remaining Installments: 39,619,965 Till 2029_x000a_Maintenance:آ 3,449,911"/>
    <s v="Belle Vie, New Zayed City, Sheikh Zayed City, Giza"/>
    <x v="1"/>
    <s v="403 sqm"/>
    <x v="4"/>
    <x v="4"/>
    <d v="2025-08-17T00:00:00"/>
    <s v="Installments"/>
    <n v="10"/>
    <s v="31,880,035 EGP"/>
  </r>
  <r>
    <n v="12000000"/>
    <s v="last chalet first row lagoon with lowest down payment and 1st year without installments! for more details: 01117570723 - 01201658769_x000a_UNIT DETAILS:_x000a_chalet_x000a_1 bedrooms_x000a_1 bathrooms_x000a_Fully finished_x000a_71 BUA_x000a_first row lagoon_x000a_one minute walking distance to the sea_x000a_-----------------------------------------------------------------------------------_x000a_Project: Soma Bay_x000a_Location: in the heart of Red Sea_x000a_located 45km away from Hurghada Airport_x000a_70 from Gouna_x000a_15km from Safaga_x000a_10km after Makadi_x000a_-----------------------------------------------------------------------------------"/>
    <s v="ARC of Soma, Soma Bay, Safaga, Hurghada, Red Sea"/>
    <x v="0"/>
    <s v=" 71 sqm"/>
    <x v="0"/>
    <x v="0"/>
    <d v="2025-08-31T00:00:00"/>
    <s v="Installments"/>
    <n v="-4"/>
    <m/>
  </r>
  <r>
    <n v="4950000"/>
    <s v="Location: Amwaj North Coast â€“ KM 136 Alexandriaâ€“Matrouh Road, Sidi Abdelrahman_x000a_There are additional installments_x000a_Unit Type: Chalet_x000a_Area: 102 sqm_x000a_Layout: 2 Bedrooms â€“ 1 Bathroom â€“ Reception â€“ Kitchen_x000a_View: Sea and Lagoon View_x000a_Finishing: Fully finished_x000a_Project Amenities:_x000a_Private Beach_x000a_Multiple Swimming Pools_x000a_Landscaped Gardens_x000a_Kidsâ€™ Area_x000a_Restaurants &amp; Cafes_x000a_24/7 Security_x000a_Payment Plan:_x000a_â€¢ Installments available_x000a_â€¢ Flexible plans up to 8 years_x000a_â€¢ Ready-to-move-in units_x000a_â€¢ Down payment starting from 10%"/>
    <s v="Amwaj, Sidi Abdel Rahman, North Coast"/>
    <x v="0"/>
    <s v="104 sqm"/>
    <x v="2"/>
    <x v="2"/>
    <d v="2025-08-19T00:00:00"/>
    <s v="Installments"/>
    <n v="-4"/>
    <m/>
  </r>
  <r>
    <n v="6386000"/>
    <s v="ONE7_x000a_ONE7 is a prestigious new development by Kronberg, setting a new standard for luxury, privacy, and modern living. Located in the prime Magawish area, it offers an exclusive living experience in a sought-after location just minutes from Hurghada's best amenities._x000a_Project overview_x000a_â€¢ Location: 10 minutes from Sahl Hasheesh, 5 minutes from Senzo Mall, 15 minutes from El Kawther, 20 minutes from Hurghada Marina, and 10 minutes from Hurghada Airport_x000a_â€¢ Total Area: 65,000 mآ², including 25,000 mآ² commercial space and 40,000 mآ² residential and landscape area_x000a_â€¢ Residential Units: Only 200 exclusive units, ensuring privacy and exclusivity._x000a_â€¢ Phase 1 Completion: Construction of Phase 1 to be completed in 2-3 months, with Phase 2 starting in 18 months and Phase 3 following 18 months thereafter_x000a_Luxury living_x000a_â€¢ Exclusive Villas: 12 spacious villas with private gardens and pools_x000a_â€¢ Step-back Design: Balconies designed to ensure privacy, with sections stepping back or extending at different levels_x000a_â€¢ Balconies: Double-glazed glass for enhanced privacy_x000a_â€¢ Private Gardens: Each unit features private terraces and gardens with 3-meter-high tree walls between units_x000a_â€¢ Secure Access: 3 main gates and no cars allowed inside the residential area or on the walking track for safety_x000a_â€¢ Parking: 500 car spaces available outside the compound_x000a_Exquisite Amenities_x000a_â€¢ Water Features: 5000 mآ² of water features, including a Lazy River, Sandy Lagoon, and a stunning waterfall_x000a_â€¢ Pools: 17 pools, including 7 main pools, 10 smaller pools, and a designated childrenâ€™s pool. Two heated pools, one for adults and one for children to be added in Phase 3_x000a_â€¢ Wellness and Leisure:_x000a_o Clubhouse with gym, wellness facilities, cafأ©, and social spaces_x000a_o Yoga Area: Outdoor yoga space for relaxation and wellbeing_x000a_o Recreational Courts: Padel, tennis, and basketball courts_x000a_â€¢ Green Spaces: 80% of the development dedicated to landscaping, with a 230 x 300 mآ² walking track for outdoor activities_x000a_â€¢ Boutique Hotel: A 22-suite hot"/>
    <s v="Jasmine Village, Hurghada Resorts, Hurghada, Red Sea"/>
    <x v="2"/>
    <s v=" 95 sqm"/>
    <x v="2"/>
    <x v="0"/>
    <d v="2025-08-20T00:00:00"/>
    <s v="Installments"/>
    <n v="9"/>
    <s v="1,277,200 EGP"/>
  </r>
  <r>
    <n v="16999990"/>
    <s v="OWN YOUR SEA VIEW UNIT FULLY FINISHED ON SANDY BEACH IN SIDI HENESH WITH (LIMITED TIME OFFER)_x000a_--------------------------------------------------------------------------_x000a_Unit Details:_x000a_Type of Property: Chalet_x000a_Number of Bedrooms: 2_x000a_Number of Bathrooms: 2_x000a_---------------------------------------------------------------------_x000a_Hospitality &amp; Leisure:_x000a_Boutique beachfront hotel_x000a_Elegant clubhouse with social spaces and lounge areas_x000a_Sea Cinema â€“ open-air beach cinema under the stars_x000a_Dining &amp; Retail:_x000a_Multiple cafأ©s and restaurants_x000a_On-site grocery store and convenience shopping_x000a_Wellness &amp; Recreation:_x000a_Multiple swimming pools_x000a_Fitness center (gym)_x000a_Spa &amp; relaxation areas_x000a_Landscaped gardens and walking paths_x000a_Family-Friendly:_x000a_Safe, gated community_x000a_Peaceful, low-density design_x000a_Walkable environment, ideal for families_x000a_Security &amp; Services:_x000a_24/7 security &amp; surveillance (CCTV)_x000a_Gated entrances with controlled access_x000a_Full maintenance &amp; gardening services_x000a_-----------------------------------------------------------_x000a_About The Developer:_x000a_is the brain child development of three big names in the Egyptian market who have formed BAM, a Joint-Venture of:_x000a_El Abd the visionary who identified Sidi Heneish Bay more than 30 years ago as the crown jewel of the North Coast and established one of the best selected communities in Sahel, El Abd name became a synonymous to Sidi Heneish bay._x000a_Guira, a master contractor &amp; home developers founded by Badawy family, who are an authority in engineering &amp; construction in Alexandria and North Coast._x000a_J developments, a boutique high end development company by Ehab &amp; Waleed Mokhtar, a household name in West Cairo &amp; the creators of â€œFeel Goodâ€‌ neighborhood concept."/>
    <s v="Beit Al Bahr, Sidi Heneish, North Coast"/>
    <x v="0"/>
    <s v="139 sqm"/>
    <x v="2"/>
    <x v="2"/>
    <d v="2025-09-02T00:00:00"/>
    <s v="Cash"/>
    <n v="-4"/>
    <m/>
  </r>
  <r>
    <n v="29019200"/>
    <s v="Zone : Aven_x000a_Type Town House Middle_x000a_BUA : 261_x000a_Land Area :  270_x000a_Finishing : Core&amp;Shell_x000a_Delivery : Within 3 years_x000a_Downpayment : 8,905,580_x000a_Remaining installment : 20,113,620_x000a_Total Price : 29,019,200_x000a_Citygate is an integrated community everything you need in one place, starting with tranquillity of nature, green spaces and amenities distributed in a well-planned space in an iconic marvellous location on New Cairo._x000a_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tions."/>
    <s v="City Gate, 5th Settlement Compounds, The 5th Settlement, New Cairo City, Cairo"/>
    <x v="7"/>
    <s v="261 sqm"/>
    <x v="1"/>
    <x v="4"/>
    <d v="2025-07-29T00:00:00"/>
    <s v="Cash"/>
    <n v="9"/>
    <s v="8,905,580 EGP"/>
  </r>
  <r>
    <n v="5300000"/>
    <s v="Apartment 80 meter at the lowest price, directly on the Suez Road in the Fifth Settlement._x000a_In front of Creek Town Compound and next to Rehab City._x000a_With no down payment and interest without installments up to 12 years._x000a_EELAF Residence in the compound._x000a_Only 10 minutes from the American University (AUC)._x000a_Only 10 minutes from the Administrative Capital._x000a_Only 5 minutes from Madinaty and Rehab City._x000a_Apartment 85 meters (with an excellent layout)._x000a_It consists of:_x000a_Master bedroom | Bathroom_x000a_Two-piece reception area_x000a_Large kitchen | Terrace with an open view._x000a_At the lowest price and with excellent payment facilities._x000a_Compound services:_x000a_Security and guarding_x000a_Surveillance cameras_x000a_Dedicated parking spaces_x000a_Electronic gates_x000a_Clubhouse._x000a_Swimming pools_x000a_Cycling and walking areas_x000a_Green spaces and artificial lakes_x000a_Restaurants and cafes_x000a_Barbecue areas_x000a_Shops_x000a_Mosques and churches_x000a_Kids' area_x000a_Gym_x000a_Jacuzzi and sauna_x000a_0% down payment with the possibility of interest without installments over 12 years_x000a_For more details: 01116140002"/>
    <s v="Eelaf Compound, New Cairo City, Cairo"/>
    <x v="2"/>
    <s v=" 85 sqm"/>
    <x v="0"/>
    <x v="0"/>
    <d v="2025-08-21T00:00:00"/>
    <s v="Installments"/>
    <n v="7"/>
    <s v="159,000 EGP"/>
  </r>
  <r>
    <n v="32000000"/>
    <s v="Step into design-forward living in a beach house in El Gounaâ€™s newest central district._x000a_This residence offers wide lagoon views and seamless access to all amenities._x000a_Pay only 15% down, and move in with 5-year installment options._x000a_Few premium apartments remaining â€“ Call now â†’ 01212531929_x000a_---------------------------------------------------------------------------------------------------------------_x000a_UNIT DETAILS:_x000a_Bedrooms: 2_x000a_Bathrooms: 2_x000a_BUA: 120 sqm_x000a_Finishing: Fully Finished + ACs + Heaters+kitchen kabinets_x000a_Downpayment: 15%_x000a_Installments: Up to 5 Years_x000a_---------------------------------------------------------------------------------------------------------------_x000a_FACILITIES:_x000a_Waterfalls &amp; Terraced Greenery_x000a_Close to G Valley: Dining &amp; Retail_x000a_Marina Access &amp; Boat Docks_x000a_Gardens, Promenade &amp; Clubhouse_x000a_Sustainability-Oriented Masterplan_x000a_---------------------------------------------------------------------------------------------------------------_x000a_Schedule your visit now â†’ 01212531929"/>
    <s v="Swan Lake Gouna, Al Gouna, Hurghada, Red Sea"/>
    <x v="7"/>
    <s v="130 sqm"/>
    <x v="2"/>
    <x v="2"/>
    <d v="2025-08-31T00:00:00"/>
    <s v="Cash"/>
    <n v="9"/>
    <s v="4,500,000 EGP"/>
  </r>
  <r>
    <n v="28000000"/>
    <s v="Townhouse 4 Bedrooms_x000a_Most Prime Location â€“ VYE &amp; Karmell by Sodic_x000a_Built-up Area: 240 sqm_x000a_Land Area: 360 sqm_x000a_Semi Finished_x000a_4 Bedrooms_x000a_Premium Location within the project_x000a_---_x000a_About the Project:_x000a_VYE &amp; Karmell by Sodic are among the most prestigious developments in New Zayed, designed to set a new benchmark for modern living in West Cairo. Developed by Sodic, one of Egyptâ€™s leading real estate developers with decades of experience, the project integrates contemporary architecture, wide green spaces, and world-class amenities to create a fully integrated community._x000a_Lifestyle &amp; Community:_x000a_VYE focuses on innovation and smart living, offering modern designs, open spaces, and a vibrant atmosphere, while Karmell draws inspiration from Californiaâ€™s lifestyle, featuring wide streets, outdoor living concepts, and a laid-back yet luxurious feel. Together, these two communities offer residents a unique combination of relaxation, activity, and sophistication, creating the perfect environment for families and individuals alike._x000a_Facilities &amp; Amenities:_x000a_Expansive green areas and landscaped gardens_x000a_Clubhouse with sports &amp; recreational facilities_x000a_Retail areas with shops, cafes, and dining outlets_x000a_Schools, nurseries, and medical facilities nearby_x000a_24/7 security and smart infrastructure_x000a_Excellent connectivity to main roads leading to Sheikh Zayed, Smart Village, and Downtown Cairo_x000a_Investment Value:_x000a_Owning a 4-bedroom Townhouse in VYE &amp; Karmell means more than just a luxurious lifestyleâ€”it is also a high-potential investment. Thanks to the projectâ€™s prime location in New Zayed and Sodicâ€™s strong reputation, property values are expected to appreciate significantly over time. With flexible payment plans and early delivery options, this is one of the most attractive real estate opportunities in West Cairo today."/>
    <s v="Eden, Cairo Gate, Sheikh Zayed Compounds, Sheikh Zayed City, Giza"/>
    <x v="7"/>
    <s v="360 sqm"/>
    <x v="1"/>
    <x v="1"/>
    <d v="2025-08-31T00:00:00"/>
    <s v="Cash"/>
    <n v="-4"/>
    <m/>
  </r>
  <r>
    <n v="15790000"/>
    <s v="Lake view residence 2_x000a_Apartment for sale_x000a_5th floor_x000a_Area 145 sqm_x000a_2 bedrooms_x000a_2 bathrooms_x000a_Total price 15.790.000_x000a_Down payment 2.975.000_x000a_Delivery 9/2027_x000a_About Lake View Residence_x000a_Lake View Residence is a huge mixed-use development in New Cairo by El Lake View Development  Company. The project is your one-stop-shop to live, work, and shop under one roof._x000a_This all-inclusive project enjoys a wide range of unique selling points, including its central location in Fifth Settlement, its top-tier facilities, and its high-end services all that work together in a harmony to offer the residents the best living, shopping, working, and playing experience."/>
    <s v="Lake View Residence 2, 5th Settlement Compounds, The 5th Settlement, New Cairo City, Cairo"/>
    <x v="2"/>
    <s v="145 sqm"/>
    <x v="2"/>
    <x v="2"/>
    <d v="2025-08-31T00:00:00"/>
    <s v="Cash"/>
    <n v="9"/>
    <s v="2,975,000 EGP"/>
  </r>
  <r>
    <n v="6500000"/>
    <s v="Apartment Limited Offer Book immediately in Ever_x000a_Area:156, directly on the View from two sides_x000a_Consists of: 3 bedrooms - 2 bathrooms_x000a_Total Price: 14,000,000_x000a_Prime Location with a 10% down payment + equal installments over 8 years without interest_x000a_For viewing and visiting the compound, call now: 01145402513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_x000a_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s v="Ever, 26th of July Corridor, 6 October City, Giza"/>
    <x v="2"/>
    <s v="157 sqm"/>
    <x v="3"/>
    <x v="2"/>
    <d v="2025-09-01T00:00:00"/>
    <s v="Cash"/>
    <n v="-4"/>
    <m/>
  </r>
  <r>
    <n v="6000000"/>
    <s v="Own a 115 sqm Apartment with a Garden View in the Newest Phase of Madinaty (B14) at the Lowest Price Per Meter_x000a_Apartment Details:_x000a_Area: 115 sqm_x000a_Location: Group 141 â€“ The first group to be delivered in Phase B14_x000a_View: Overlooking a garden â€“ corner unit, fully open view with complete privacy_x000a_Layout: 3 bedrooms â€“ 2 bathrooms (Smart layout with optimal space utilization)_x000a_Delivery: Within one and a half years_x000a_Key Advantages:_x000a_The total contract value is 6 million EGP less than the current company price_x000a_Total price is equivalent to the current price of a studio apartment by the developer_x000a_Flexible installment plans up to 12 years_x000a_Payment Details:_x000a_Down payment for assignment: 2,900,000 EGP_x000a_Monthly installment: 15,000 EGP_x000a_Annual installment: 155,000 EGP_x000a_For inquiries:_x000a_Adham Amr_x000a_EXPERTS Real Estate Marketing_x000a_Office No. S10 â€“ East Business Hub â€“ Madinaty â€“ New Cairo_x000a_Mobile: +20 112 555 5249"/>
    <s v="Madinaty, Cairo"/>
    <x v="2"/>
    <s v="115 sqm"/>
    <x v="3"/>
    <x v="2"/>
    <d v="2025-09-02T00:00:00"/>
    <s v="Installments"/>
    <n v="9"/>
    <s v="2,900,000 EGP"/>
  </r>
  <r>
    <n v="16000000"/>
    <s v="LIMITTED OFFER _5% DOWNPAYMENT + 5% AFTER 6 MONTHS PAY OVER 7 YEARS INSTALLMENTS AFTER 1 YEAR ._x000a_________________________x000a__ PROJECT NAME : SOMA BAY_x000a__ DEVELOPER NAME : ABO SOMA DEVELOPMENT_x000a_________________________x000a__ UNIT DETAILS :_x000a_- 2 MASTER BEDROOMS_x000a_- 2 MASTER BATHROOMS_x000a_- 1 BEDROOMS_x000a_- BATHROOM_x000a_- GUEST TOILET_x000a_- RECEPTION_x000a_- ROOF_x000a________________________x000a__ FEEL FREE TO CONTACT ME AT : 01220517220_x000a_________________________x000a__ PAYMENT PLAN :_x000a_- 5% DOWNPAYMENT + 5% AFTER 6 MONTHS PAY OVER 7 YEARS INSTALLMENTS."/>
    <s v="Swan Lake Gouna, Al Gouna, Hurghada, Red Sea"/>
    <x v="0"/>
    <s v="134 sqm"/>
    <x v="3"/>
    <x v="5"/>
    <d v="2025-09-02T00:00:00"/>
    <s v="Cash"/>
    <n v="7"/>
    <s v="630,000 EGP"/>
  </r>
  <r>
    <n v="10000000"/>
    <s v="Fully Finished Chalet with Panoramic Sea &amp; Lagoon Views â€“ Prime Location in Somabay_x000a_Special Offer â€“ Limited Time Only_x000a_Pay just 5% down payment with installments up to 8 years_x000a_First installment after 1 year_x000a_Chalet Features:_x000a_Built-up Area: 130 mآ²_x000a_Bedrooms: 2_x000a_Bathrooms: 3_x000a_Private Garden: 110 mآ²_x000a_Fully Finished_x000a_Why Choose Somabay?_x000a_Somabay is set on elevated terrain offering unmatched views and top-tier facilities, including:_x000a_Crystal lagoons and multiple swimming pools_x000a_Clubhouse and festival zones_x000a_Upscale dining and cafes_x000a_Concierge &amp; property management services_x000a_International retail outlets_x000a_Medical clinics and full-service hospital_x000a_Sports areas and children's zones_x000a_International schools and learning centers_x000a_Five-star luxury hotels_x000a_A rare opportunity to own a home with stunning views, premium amenities, and a flexible payment plan in one of Egyptâ€™s most desirable seaside communities._x000a_For more information, contact us at: 01202731156"/>
    <s v="Mesca, Soma Bay, Safaga, Hurghada, Red Sea"/>
    <x v="0"/>
    <s v="130 sqm"/>
    <x v="2"/>
    <x v="5"/>
    <d v="2025-08-31T00:00:00"/>
    <s v="Installments"/>
    <n v="-4"/>
    <m/>
  </r>
  <r>
    <n v="7600000"/>
    <s v="ط´ط§ظ„ظٹظ‡ ظ…ظ…ظٹط² ظ„ظ„ط¨ظٹط¹ ظپظٹ ظ…ط§ط±ط³ظٹظ„ظٹط§ ط¨ظٹطھط´ 5 ( ط±ط§ط³ ط§ظ„ط­ظƒظ…ط© )_x000a_â€¢ ظ…ط³ط§ط­ط©95ظ… â€“ طھط´ط·ظٹط¨ ط³ظˆط¨ط± ظ„ظˆظƒط³._x000a_â€¢ 2 ط؛ط±ظپ_x000a_â€¢ ظ„ظٹظپظٹظ†ط¬._x000a_â€¢ ط­ظ…ط§ظ…._x000a_â€¢ ظ…ط·ط¨ط®._x000a_â€¢ط¯ظˆط± ظ…طھظƒط±ط±._x000a_â€¢ ط§ط³طھظ„ط§ظ… 2028._x000a_â€¢ ط¥ط¬ظ…ط§ظ„ظٹ ط§ظ„ظ…ط·ظ„ظˆط¨ : 7,600,000 ._x000a_â€¢ ط§ظ„ظ…ظ‚ط¯ظ… 5.1 % (390,000)_x000a_â€¢ط§ظ„ظ…طھط¨ظ‚ظٹ ط¹ظ„ظٹ 40 ظ‚ط³ط· ط¨ظ‚ظٹظ…ط© (7,210,000) (ط¹ظ„ظٹ 10 ط³ظ†ظˆط§طھ ظ‚ظٹظ…ط© ط§ظ„ظ‚ط³ط· ط±ط¨ط¹ ط³ظ†ظˆظٹ 180,000)_x000a_================================_x000a_â€¢ ظ„ظ…ط²ظٹط¯ ظ…ظ† ط§ظ„ظ…ط¹ظ„ظˆظ…ط§طھ ظٹط±ط¬ظٹ ط§ظ„ط§طھطµط§ظ„ ط¹ظ„ظٹ : 01111973159"/>
    <s v="Marseilia Beach 5, Ras Al Hekma, North Coast"/>
    <x v="0"/>
    <s v=" 95 sqm"/>
    <x v="2"/>
    <x v="0"/>
    <d v="2025-08-14T00:00:00"/>
    <s v="Cash"/>
    <n v="7"/>
    <s v="390,000 EGP"/>
  </r>
  <r>
    <n v="3017400"/>
    <s v="Own a modern studio apartment in Atlantis Hurghada, a fully serviced residential community that blends elegance, a prime location, and world-class amenities. Ideally situated in El Mohamady Square, this project is a perfect choice for both comfortable living and profitable investment._x000a_Apartment Features:_x000a_studio_x000a_47 sqm_x000a_Open-concept living and dining area_x000a_1 bathrooms with contemporary design_x000a_Stylish kitchen_x000a_High-quality finishes and solid construction_x000a_Project Advantages:_x000a_Several swimming pools_x000a_Integrated commercial mall_x000a_Beautifully landscaped gardens and green areas_x000a_Secure underground parking_x000a_Payment Plan:_x000a_15% down payment â€“ Installments up to 5 years_x000a_For inquiries and reservations:_x000a_01505001626_x000a_info@onestaeg.com_x000a_Onesta Project Management_x000a_Over 20 years of experience in the Red Sea real estate market._x000a_We prioritize your best interest at every step_x000a_Full support throughout the entire buying process_x000a_A trusted name with a proven track record of successful projects._x000a_Act now â€“ limited units remaining."/>
    <s v="Atalantis, Hurghada Resorts, Hurghada, Red Sea"/>
    <x v="2"/>
    <s v=" 47 sqm"/>
    <x v="6"/>
    <x v="0"/>
    <d v="2026-08-21T00:00:00"/>
    <s v="Installments"/>
    <n v="7"/>
    <s v="452,610 EGP"/>
  </r>
  <r>
    <n v="14000000"/>
    <s v="Live in the heart of O West with world-class facilities._x000a_Live with the elietest owners like you._x000a_Own your villa or apartment with just 5% down payment._x000a_Flexible installments over 9 years._x000a_Luxury living surrounded by greenery, parks, and amenities._x000a_Call now to book your unit and get this month's offer! ----&gt; 01222512407_x000a_------------------------------------------_x000a_Unit Details:_x000a_BUA: 150_x000a_Bedrooms: 3_x000a_Bathrooms: 3_x000a_-------------------------------------------_x000a_Facilities:_x000a_Central Park (4 acres of greenery)_x000a_Fully equipped indoor &amp; outdoor gyms_x000a_Dedicated yoga area_x000a_Outdoor cinema_x000a_Kidsâ€™ play areas_x000a_Walking &amp; jogging tracks_x000a_Sports facilities_x000a_Clubhouse access_x000a_Community retail &amp; dining spots_x000a_24/7 security &amp; gated entrances_x000a_Underground parking_x000a_Smart infrastructure &amp; sustainable design_x000a_-----------------------------------------_x000a_Prime Project Location:_x000a_آ· 3 minutes from Mall of Egypt_x000a_آ· 3 minutes from Dahshur Link_x000a_آ· 5 minutes from Meyyan Juhayna and Mall of Arabia_x000a_آ· Directly on Al Wahat Road_x000a_آ· 10 minutes from 26th of July Axis_x000a_آ· 7 minutes from Arkan Plaza &amp; Capital Business Park_x000a_آ· 7 minutes from the Ring Road_x000a_-----------------------------------------_x000a_Don't miss this opportunity to own a prime property in one of West Cairo's most strategic and well-connected locations. Enjoy a lifestyle of convenience, luxury, and tranquility._x000a_For more details, contact us by phone or WhatsApp:01222512407"/>
    <s v="O West, 6 October Compounds, 6 October City, Giza"/>
    <x v="2"/>
    <s v="150 sqm"/>
    <x v="3"/>
    <x v="5"/>
    <d v="2025-08-31T00:00:00"/>
    <s v="Installments"/>
    <n v="1"/>
    <s v="5 EGP"/>
  </r>
  <r>
    <n v="11700000"/>
    <s v="Apartment for sale in compound Sodic east_x000a_new cairo_x000a_resale_x000a_Open view on the club_x000a_bua 174 m_x000a_3 bedrooms_x000a_3 bathrooms_x000a_Floor: 1st floor_x000a_Fully finished_x000a_Downpayment 3â€™700â€™000_x000a_Installment 8â€™000â€™000 till 2031_x000a_deliver 2027_x000a_Code: WFP 0037_x000a_To contact us, call:_x000a_201032300008_x000a_201050552325"/>
    <s v="Sodic East, 6th District, New Heliopolis, Cairo"/>
    <x v="2"/>
    <s v="174 sqm"/>
    <x v="3"/>
    <x v="5"/>
    <d v="2025-08-13T00:00:00"/>
    <s v="Installments"/>
    <n v="9"/>
    <s v="3,700,000 EGP"/>
  </r>
  <r>
    <n v="2571750"/>
    <s v="Al Abtal Developer_x000a_Al Abtal Developer is the owner of the project and is considered one of the leading real estate companies in Hurghada. The company currently ownrs and manages 7 ongoing construction projects located in strategic areas._x000a_................................................................................................._x000a_Payment Plan:_x000a_Total Price: EGP 2,571,750_x000a_Down Payment (40%): EGP 1,028,700_x000a_Quarterly Installments: EGP 154,305_x000a_Installment Period: 2.5 years, interest-free_x000a_Cash Discount: 15% off for full payment_x000a_..............................................................................................._x000a_Apartment Details:_x000a_Area: 127 sqm_x000a_Bedrooms: 2_x000a_View: Pool-side view_x000a_Finishing: High-quality finishes_x000a_Delivery Date: 2026_x000a_...................................................................................................._x000a_Project Amenities:_x000a_3 Swimming Pools_x000a_Kidsâ€™ Play Area_x000a_Gym &amp; Spa_x000a_Shopping Center_x000a_Green Spaces_x000a_24/7 Security &amp; CCTV_x000a_Maintenance &amp; Facility Management_x000a_Housekeeping Services_x000a_......................................................................................................._x000a_Location:_x000a_In front of Bestway â€“ Al Ahyaa, Hurghada_x000a_Steps from Al Ahyaa Main Promenade_x000a_5 mins to Royal Beach_x000a_8 mins to University_x000a_15 mins to Schools_x000a_20 mins to El Gouna_x000a_25 mins to Hurghada Airport_x000a_......................................................................................................_x000a_Contact Al Abtal Developer now to schedule a viewing or request more details:_x000a_max@abtalhurghada.com"/>
    <s v="Al Ahyaa District, Hurghada, Red Sea"/>
    <x v="2"/>
    <s v="127 sqm"/>
    <x v="2"/>
    <x v="0"/>
    <d v="2025-08-03T00:00:00"/>
    <s v="Cash"/>
    <n v="9"/>
    <s v="1,028,700 EGP"/>
  </r>
  <r>
    <n v="3441932"/>
    <s v="Atlantis project offers premium living in a prime location â€“ El-Midan El-Mohamady, at the start of the Touristic Promenade, just steps away from the sea, beaches, and all essential services._x000a_Developed by Castello, the project includes:_x000a_One of the largest swimming pools in the area_x000a_Restaurants, cafأ©s, private parking_x000a_24/7 security_x000a_High-end finishing in all units_x000a_Available units:_x000a_From studio apartments to duplexes, ranging from 40 sqm to 215 sqm._x000a_Flexible payment plans:_x000a_Only 15% down payment_x000a_Installments up to 6 years â€“ interest-free_x000a_Contact us now for full details and to reserve your unit in Hurghadaâ€™s top location."/>
    <s v="Atalantis, Hurghada Resorts, Hurghada, Red Sea"/>
    <x v="0"/>
    <s v=" 70 sqm"/>
    <x v="6"/>
    <x v="0"/>
    <d v="2025-08-25T00:00:00"/>
    <s v="Cash"/>
    <n v="7"/>
    <s v="516,289 EGP"/>
  </r>
  <r>
    <n v="730000"/>
    <s v="Palm Hills_x000a_------------------------_x000a_Own your home now in Badya, from Palm Hills, with a 0% down payment._x000a_*** Equal installments over 12 years ***_x000a_Location: New October_x000a_-2 Beds_x000a_-2 Bathroom_x000a_Terrace_x000a_For more information please contact us via calls or WhatsApp on 01101801119_x000a_--------------------------_x000a_Compound Services :_x000a_- Luxurious cafes offer customers a selection of the most beautiful warm and cold ._x000a_-Commercial malls are built on a huge space containing several shops that provide residents with the finest brands and international products._x000a_-A gym where people can practice popular sports activities such as tennis, running, and squash._x000a_-Security and guarding services are spread throughout the compound to provide full protection and security for residents all day._x000a_- swimming pool_x000a_- Industrial lakes_x000a_- social Club._x000a_------------------------_x000a_Apartments for sale in Sheikh Zayed Compounds_x000a_Properties for sale in Badya Palm Hills_x000a_Apartments for sale in Badya Palm Hills_x000a_Villas for sale in Badya Palm Hills_x000a_Townhouses for sale in Badya Palm Hills_x000a_Penthouses for sale in Badya Palm Hills_x000a_Duplexes for sale in Badya Palm Hills_x000a_Studio apartments for sale in Badya Palm Hills_x000a_1 bedroom apartments for sale in Badya Palm Hills_x000a_2 bedroom apartments for sale in Badya Palm Hills_x000a_3 bedroom apartments for sale in Badya Palm Hills_x000a_4 bedroom apartments for sale in Badya Palm Hills_x000a_--------------------------------------------_x000a_Realm For Properties was established in 2023 and has been working in the field of real estate marketing since its inception and works with the best and largest real estate developers in Egypt due to the great experience of our sales teams._x000a_Why Realm For Properties is the perfect choice:_x000a_01._x000a_Best Sales Team (Architect)_x000a_We have the best sales team ready to work immediately._x000a_02._x000a_a large number of clients_x000a_Our clients and investors are always ready._x000a_03._x000a_Professionalism at work_x000a_We specialize in completing your work professionally and very quickly"/>
    <s v="Badya Palm Hills, 6 October Compounds, 6 October City, Giza"/>
    <x v="2"/>
    <s v="106 sqm"/>
    <x v="2"/>
    <x v="2"/>
    <d v="2025-08-21T00:00:00"/>
    <s v="Cash"/>
    <n v="-4"/>
    <m/>
  </r>
  <r>
    <n v="6230000"/>
    <s v="Penthouse for Sale in Badya â€“ Old Price â€“ Immediate Delivery with Installments_x000a_Penthouse â€“ Badya Palm Hills_x000a_BUA: 146 mآ² + Roof 75 mآ²_x000a_2 Master Bedrooms_x000a_3 Bathrooms_x000a_Kitchen_x000a_2 Terraces_x000a_5th Floor_x000a_Fully Finished_x000a_Old Contract â€“ Easy Installments_x000a_Down Payment: 4,850,000_x000a_Remaining: 1,380,000_x000a_Total: 6,230,000_x000a_Installments up to 6 years_x000a_Ready to Move"/>
    <s v="Badya Palm Hills, 6 October Compounds, 6 October City, Giza"/>
    <x v="3"/>
    <s v="146 sqm"/>
    <x v="2"/>
    <x v="5"/>
    <d v="2025-08-20T00:00:00"/>
    <s v="Installments"/>
    <n v="9"/>
    <s v="1,380,000 EGP"/>
  </r>
  <r>
    <n v="27000000"/>
    <s v="Marsa Baghush_x000a_----------------------------------------------------------------_x000a_A 3 bedroom Chalet in Marsa Baghush by Shehab Mazhar. The Chalet size is 170 m2 with 3 bathrooms._x000a_This property will be ready for delivery finished._x000a________________________________________________________________x000a_UNIT DETDETAILS_x000a_- BUA 280 sqm_x000a_- BEDROOMS 4_x000a_- BATHROOMS 4_x000a_- SEA VIEW_x000a_- PRIME LOCATION_x000a_- FULLY FINISHED_x000a______________________________________________________________x000a_FOR MORE DETAILS : 01225568749_x000a_FOR MORE DETAILS : 01225568749_x000a______________________________________________________________x000a_Marsa Bagoush North Coast Village is a massive tourist project on the Mediterranean coast. It was built and designed in a modern, luxurious, and sophisticated style. The resort was developed by SQM, one of the leading real estate companies in the Egyptian real estate market._x000a_Marsa Baghush North Coast is one of the most important projects developed by SQM Real Estate Investment. The company has hired a large team of consultants and specialists in real estate design to produce a unique project of high quality. The project is distinguished by being designed on a large area of â€‹â€‹â€‹â€‹76 acres. The resort also includes various units including chalets, twin houses, townhouses and independent villas. These units come in different areas starting from 75 square meters, and prices starting from 24,000,000 Egyptian pounds._x000a_The developer also offers flexible, interest-free payment plans, starting with a 10% down payment and the remaining amount paid over 8 years. When you enter a resort like Marsa Bagoush North Coast, you'll find yourself secluded from the hustle and bustle of the outside world, nestled in a world of tranquility and nature._x000a_Marsa Bagoush North Coast village is approximately 21 km away from Ras El Hekma_x000a_Th"/>
    <s v="Marsa Baghush, Qesm Marsa Matrouh, North Coast"/>
    <x v="3"/>
    <s v="280 sqm"/>
    <x v="1"/>
    <x v="1"/>
    <d v="2025-08-31T00:00:00"/>
    <s v="Installments"/>
    <n v="7"/>
    <s v="500,000 EGP"/>
  </r>
  <r>
    <n v="14815000"/>
    <s v="IL Monte Galala â€“ Ain Sokhna, between the mountains and the sea, by Tatweer Misr_x000a_Hotel chalet for sale, ready for immediate delivery_x000a_Fully finished in installments, in a prime location directly overlooking the sea_x000a_(Mont Galala) Ain Sokhna_x000a_- Master bedroom with panoramic terrace_x000a_- Reception_x000a_- Home accessories_x000a_- Appliances_x000a_- Terrace with lagoon view_x000a_Down payment starting from only 5%, with convenient installments up to 10 years._x000a_Live a unique experience at a panoramic height above the sea, in IL Monte Galala, one of Ain Sokhna's most prestigious projects. Located less than an hour from Cairo, between the mountains and turquoise waters, it boasts world-class architectural designs and green spaces, amidst integrated services that suit both relaxation and modern living._x000a_Available units:_x000a_Chalets â€“ Lofts â€“ Townhouses â€“ Standalone villas, all with luxurious finishes and direct views of the sea, mountains, or lagoon._x000a_Services:_x000a_A lagoon running the length of the project â€“ a private beach â€“ a walking and hiking track â€“ a crystal lagoon â€“ luxury hotels â€“ a sports area â€“ upscale cafes and restaurants â€“ a health club â€“ a children's area â€“ and 24/7 security and maintenance services._x000a_Il Monte Galala is more than a summer resortâ€¦it's a coastal and healthy lifestyle that combines adventure, comfort, and luxury in every detail."/>
    <s v="IL Monte Galala, Al Ain Al Sokhna, Suez"/>
    <x v="7"/>
    <s v="130 sqm"/>
    <x v="3"/>
    <x v="2"/>
    <d v="2025-09-01T00:00:00"/>
    <s v="Cash"/>
    <n v="7"/>
    <s v="740,000 EGP"/>
  </r>
  <r>
    <n v="14000000"/>
    <s v="For Sale: 1 Bedroom Apartment Kamaran_x000a_Fully Finished with ACs, Kitchen Cabinets, Boilers &amp; Dressers_x000a_Property Overview_x000a_A well appointed 1 bedroom apartment in Kamaran, fully finished and equipped with essential fittings and appliances. Ideal as a holiday home, permanent residence, or investment property._x000a_Unit Details_x000a_1 Bedroom_x000a_1 Bathroom_x000a_Living Room_x000a_Terrace_x000a_Property Specifications_x000a_Built Up Area: 66 sqm_x000a_Finishing: Fully Finished with ACs, Kitchen Cabinets, Boilers &amp; Dressers_x000a_Condition: Move In Ready_x000a_Highlights_x000a_Turnkey Property Ready to Use_x000a_Equipped with Quality Fixtures and Appliances_x000a_Located in a Peaceful, Well Maintained Community_x000a_Contact for More Information or Viewing_x000a_Phone: +20 120 165 9314_x000a_Mobile: 0120 165 9314"/>
    <s v="Kamaran, Al Gouna, Hurghada, Red Sea"/>
    <x v="2"/>
    <s v=" 66 sqm"/>
    <x v="0"/>
    <x v="0"/>
    <d v="2025-09-02T00:00:00"/>
    <s v="Installments"/>
    <n v="9"/>
    <s v="2,100,000 EGP"/>
  </r>
  <r>
    <n v="3000000"/>
    <s v="A beachfront chalet at the first launch price in VILLAR, New Alamein, with installments over 10 years, interest-free._x000a_All chalets have a distinctive sea view directly, with ultra-luxurious finishing._x000a_Directly opposite Marina 4._x000a_At kilometer 101, Alexandria-Matrouh Road._x000a_First exit off Wadi El Natrun Road._x000a_Construction rate only 8%._x000a_Chalet area: 60 square meters (studio with a very distinctive layout)._x000a_Master bedroom | Bathroom_x000a_Two-piece reception area | Kitchen_x000a_Terrace with a distinctive view_x000a_Sea view_x000a_Fully finished._x000a_At the project's inaugural price._x000a_Facilities &amp; Amenities_x000a_Clubhouse_x000a_Sports Area_x000a_Kids Area_x000a_Commercial Strip_x000a_Open-Air Cinema_x000a_Swimming Lagoons_x000a_With a 10% down payment and the possibility of installments over 10 years, interest-free._x000a_For more details: 01115611103"/>
    <s v="Marina 5, Marina, Al Alamein, North Coast"/>
    <x v="0"/>
    <s v=" 60 sqm"/>
    <x v="0"/>
    <x v="0"/>
    <d v="2025-09-02T00:00:00"/>
    <s v="Installments"/>
    <n v="7"/>
    <s v="300,000 EGP"/>
  </r>
  <r>
    <n v="4184000"/>
    <s v="For Fifth Settlement_x000a_North House_x000a_Apartment_x000a_Area:_x000a_166 m_x000a_3 bedrooms_x000a_3 bathrooms_x000a_Price:_x000a_4,184,000_x000a_Down Payment:_x000a_1,000,000_x000a_Lowest Price in the Fifth Settlement_x000a_With the Lowest Down Payment and Closest Delivery_x000a_Market Opportunity_x000a_Snapshot for a Quick Sale_x000a_Very Distinctive Area_x000a_Best Location in the Fifth Settlement_x000a_Close to All Services_x000a_Second Number from Suez Road_x000a_================_x000a_Contact Number:_x000a_01090110662_x000a_=========="/>
    <s v="North House, The 5th Settlement, New Cairo City, Cairo"/>
    <x v="2"/>
    <s v="166 sqm"/>
    <x v="3"/>
    <x v="5"/>
    <d v="2025-09-01T00:00:00"/>
    <s v="Installments"/>
    <n v="9"/>
    <s v="1,000,000 EGP"/>
  </r>
  <r>
    <n v="4100000"/>
    <s v="Ready to move apartment in Vye compound, next to Solana by Ora and Belle Vie by Emaar, minutes from Beverly Hills and El Rabwa Compound._x000a_Area: 158 sqm_x000a_- 3 bedrooms including master room_x000a_- nanny's room_x000a_- 4 bathrooms_x000a_- reception_x000a_- terrace_x000a_Payment plan:_x000a_4,100,000 and the rest over 8 years_x000a_The compound is located in a very prime location:_x000a_* Minutes from Sphinx Airport_x000a_* Minutes from Smart Village_x000a_* Minutes from Beverly Hills_x000a_Facilities_x000a_- Commercial area_x000a_- club_x000a_- Swimming pools_x000a_- Tracks for walking_x000a_- Security and guarding_x000a_Sodic Previous Projects:_x000a_- Beverly Hills_x000a_- Six West_x000a_- Allegria_x000a_- Forty West_x000a_- The Estates_x000a_- The Estates Residence_x000a_- Vye and Karmell_x000a_- Caesar North Coast_x000a_- June North Coast_x000a_For Contacts: 01029092965"/>
    <s v="Vye Sodic, New Zayed City, Sheikh Zayed City, Giza"/>
    <x v="2"/>
    <s v="158 sqm"/>
    <x v="3"/>
    <x v="1"/>
    <d v="2025-08-30T00:00:00"/>
    <s v="Cash"/>
    <n v="-4"/>
    <m/>
  </r>
  <r>
    <n v="13000000"/>
    <s v="2BD Chalet Double View ( Sea &amp; Lagoon ) Lowest Price Ever !!_x000a_For more Details Contact me : 01225568043_x000a_Unit Details :_x000a_Chalet_x000a_Number Of bedrooms : 2_x000a_Number Of Bathrooms : 2_x000a_BUA: 110 Sqm_x000a_Fully Finished_x000a_For more Details Contact me : 01225568043_x000a_About Soma Bay Hurghada_x000a_Soma Bay is one of the distinguished projects that have been established in Hurghada, on the Red Sea coast. The resort is located in a vast area that is â€‹â€‹about 3.4 million square meters. 85% of the area is allocated to green spaces, water features, and open spaces to provide you with all requirements of life within an integrated community._x000a_The coastal resort occupies a privileged position, as it is 78 meters above sea level and the highest point , ensuring unique panoramic views over the Red Sea whereverآ youآ are."/>
    <s v="Mangroovy Residence, Al Gouna, Hurghada, Red Sea"/>
    <x v="0"/>
    <s v="115 sqm"/>
    <x v="2"/>
    <x v="2"/>
    <d v="2025-09-01T00:00:00"/>
    <s v="Cash"/>
    <n v="-4"/>
    <m/>
  </r>
  <r>
    <n v="39200000"/>
    <s v="OWN YOUR FINISHED VILLA WITH PANORAMIC SEA VIEW !!_x000a_SODIC DEVELOPMENT_x000a_NORTH COAST_x000a_------------------------------------------------------------------_x000a_Unit Details:_x000a_4 Bedrooms_x000a_4 Bathrooms_x000a_Garden_x000a_Pool_x000a_Lagoons_x000a_View of Water_x000a_Panoramic Sea View_x000a_Security_x000a_Gym_x000a_Spa_x000a_Jacuzzi_x000a_Children's Pool_x000a_Central A/C's_x000a_------------------------------------------------------------------------------------------_x000a_For More Details Contact Me: 01225568346_x000a_------------------------------------------------------------------------------------------_x000a_SODICâ€™s latest beachfront destination, June, is a coastal beach town with a beautiful sandy beach and pristine seawater. The Miami inspired development offers a wide range of neighborhoods, each with a very unique sense of the summer feel, to meet diversified tastes and living needs. Interconnected for residentsâ€™ convenience, June offers pedestrian-only tracks dedicated to walking, jogging, rollerblading, skateboarding, scooters, and bicycles. With hotel-serviced apartments and villas, a scenic coastline, swimmable lagoons, unobstructed horizon pools, beach hotels, and a plethora of amenities, June adds a one-of-a-kind home feel to the ownerâ€™s summer escape. Like the rest of SODICâ€™s developments, June is built with an ecofriendly vision and brings smart green living to the North Coast. The new Dabaa road facilitates a much smoother commute from Cairo, providing ease of access to this summer getaway."/>
    <s v="Ogami, Ras Al Hekma, North Coast"/>
    <x v="1"/>
    <s v="301 sqm"/>
    <x v="1"/>
    <x v="1"/>
    <d v="2025-09-02T00:00:00"/>
    <s v="Installments"/>
    <n v="1"/>
    <s v="1 EGP"/>
  </r>
  <r>
    <n v="14500000"/>
    <s v="*For Sale: Stunning Fully-Finished Chalet With Panoramic View - Facing North*_x000a_- Very Close To The Sandy Beach And 1ST Row Lagoon!_x000a_- Pay just 5% down with long-term, equal installments!_x000a_&quot;Great opportunity for luxury beachside living! Need help? Call 01279279713&quot;_x000a_======================================_x000a_- Chalet Details :_x000a_(BUA): 140 mآ²_x000a_Number Of Bedrooms : 2 Master + Nanny Room_x000a_Number Of Bathrooms : 3 Bath_x000a_Big Reception_x000a_American Kitchen_x000a_*For More Info : 01279279713_x000a_======================================_x000a_Facilities and Amenities:_x000a_Bask in the 1.4â€¯km private sandy beach and unwind in the 20-acre lagoonâ€”perfect for water sports or peaceful reflection._x000a_Stay active in the expansive 13-acre Sports Campus featuring football and padel courts, a semiâ€‘Olympic pool, fitness studios, and dedicated kids' zones._x000a_Indulge in wellness and hospitality with a luxury hotel, clubhouse, spa, sauna, and Jacuzzi at your doorstep._x000a_Enjoy the vibrant Village Street, complete with cafes, shops, restaurants, and the serene Farm social hub._x000a_Attend events in the ambient open-air amphitheater, or let the little ones roam freely in the safe children's play areas._x000a_Dive into fun at the waterpark with island attractions, and savor fine dining and cafأ© experiences throughout._x000a_Live with peace of mind thanks to 24/7 security, surveillance, and modern infrastructure._x000a_Stay connected via scenic pedestrian and cycling paths, underground parking, and convenient internal transit._x000a_Access daily necessities seamlesslyâ€”clinics, pharmacies, banking services, and round-the-clock maintenance support are all within reach."/>
    <s v="Ramla Lakeside, Qesm Ad Dabaah, North Coast"/>
    <x v="0"/>
    <s v="140 sqm"/>
    <x v="2"/>
    <x v="5"/>
    <d v="2025-08-31T00:00:00"/>
    <s v="Installments"/>
    <n v="-4"/>
    <m/>
  </r>
  <r>
    <n v="6235000"/>
    <s v="ظ…ط´ط±ظˆط¹ ط³ظƒظ†ظٹ Nile Boulevard â€“ ط¨ظ…ظˆظ‚ط¹ ط§ط³طھط±ط§طھظٹط¬ظٹ ظ…ظ…ظٹط² ظپظٹ ظ‚ظ„ط¨ ط§ظ„ظ‚ط§ظ‡ط±ط© ط§ظ„ط¬ط¯ظٹط¯ط©  ط­ط¬ط² ظ‚ط¯ظٹظ… ط§ظ„ظˆط­ط¯ط§طھ ظ…طھط§ط­ط© ط¨ط§ظ‚ظ„ ط§ظˆظپط±ط§طھ ط¨ط§ظ„ط³ظˆظ‚_x000a_ظˆط­ط¯ط© 145 ظ…آ² â€“ ط§ظ„ط¯ظˆط± ط§ظ„ط«ط§ظ†ظٹ_x000a_â€¢ 3 ط؛ط±ظپ â€“ 2 ط­ظ…ط§ظ…_x000a_â€¢ ظپظٹظˆ: Central Park_x000a_â€¢ ظ†طµظپ طھط´ط·ظٹط¨_x000a_â€¢ ط³ط¹ط± ط§ظ„طھط¹ط§ظ‚ط¯: 6,235,000 ط¬_x000a_â€¢ ط§ظ„ظ…ط¨ظ„ط؛ ط§ظ„ظ…ط³ط¯ط¯: 2,040,000 ط¬_x000a_â€¢ ط§ظ„ط£ظˆظپط±:_x000a_â€¢ ط§ظ„ظ‚ط³ط·: 246,900 ط¬ ظƒظ„ 3 ط´ظ‡ظˆط±_x000a_â€¢ ط¹ظ†ظˆط§ظ† ط§ظ„ظˆط­ط¯ط©: B02-304_x000a_ظˆط­ط¯ط© 159 ظ…آ² â€“ ط¯ظˆط± ظ…طھظƒط±ط±_x000a_â€¢ 3 ط؛ط±ظپ â€“ 2 ط­ظ…ط§ظ…_x000a_â€¢ ظ†طµظپ طھط´ط·ظٹط¨_x000a_â€¢ ط³ط¹ط± ط§ظ„طھط¹ط§ظ‚ط¯: 6,837,000 ط¬_x000a_â€¢ ط§ظ„ظ…ط¨ظ„ط؛ ط§ظ„ظ…ط³ط¯ط¯: 2,236,750 ط¬_x000a_â€¢ ط§ظ„ط£ظˆظپط±:_x000a_â€¢ ظ†ط¸ط§ظ… ط§ظ„ط³ط¯ط§ط¯: طھظ‚ط³ظٹط· ط¹ظ„ظ‰ 6 ط³ظ†ظˆط§طھ_x000a_â€¢ ط¹ظ†ظˆط§ظ† ط§ظ„ظˆط­ط¯ط©: B02-G03_x000a_ظˆط­ط¯ط© 159 ظ…آ² + ط­ط¯ظٹظ‚ط© 113 ظ…آ²_x000a_â€¢ 3 ط؛ط±ظپ â€“ 2 ط­ظ…ط§ظ…_x000a_â€¢ ط­ط¯ظٹظ‚ط© ط®ط§طµط©_x000a_â€¢ ظ†طµظپ طھط´ط·ظٹط¨_x000a_â€¢ ط³ط¹ط± ط§ظ„طھط¹ط§ظ‚ط¯: 8,260,000 ط¬_x000a_â€¢ ط§ظ„ظ…ط¨ظ„ط؛ ط§ظ„ظ…ط³ط¯ط¯: 2,702,000 ط¬_x000a_â€¢ ط§ظ„ط£ظˆظپط±:_x000a_â€¢ ظ†ط¸ط§ظ… ط§ظ„ط³ط¯ط§ط¯: طھظ‚ط³ظٹط· ط¹ظ„ظ‰ 6 ط³ظ†ظˆط§طھ_x000a_â€¢ ط¹ظ†ظˆط§ظ† ط§ظ„ظˆط­ط¯ط©: B02-G03_x000a_ظ…ظ…ظٹط²ط§طھ ظ…ط´ط±ظˆط¹ Nile Boulevard_x000a_â€¢ ظ‚ط±ظٹط¨ ظ…ظ† ط§ظ„ط±ط­ط§ط¨ ط´ط§ط±ط¹ ط§ظ„طھط³ط¹ظٹظ† ظˆظ…ط­ظˆط± ظ…ط­ظ…ط¯ ط¨ظ† ط²ط§ظٹط¯_x000a_â€¢ ط¯ظ‚ط§ط¦ظ‚ ظ…ظ† ط§ظ„ط¹ط§طµظ…ط© ط§ظ„ط¥ط¯ط§ط±ظٹط© ظˆط§ظ„ط·ط±ظٹظ‚ ط§ظ„ط¯ط§ط¦ط±ظٹ ط§ظ„ط£ظˆط³ط·ظ‰_x000a_طھطµظ…ظٹظ… ط£ظˆط±ظˆط¨ظٹ ظƒظ„ط§ط³ظٹظƒظٹ ط£ظ†ظٹظ‚_x000a_â€¢ ظ…ط³طھظˆط­ظ‰ ظ…ظ† ط§ظ„ظ†ظٹظˆ ظƒظ„ط§ط³ظٹظƒ ط§ظ„ط£ظˆط±ظˆط¨ظٹ_x000a_â€¢ ظˆط§ط¬ظ‡ط§طھ ظپط§ط®ط±ط© ظˆظ…ط¯ط§ط®ظ„ ط±ط®ط§ظ…_x000a_ظ…ط³ط§ط­ط§طھ ط®ط¶ط±ط§ط، ظˆظپظٹظˆ ظ…ظ…ظٹط²_x000a_â€¢ ط¥ط·ظ„ط§ظ„ط§طھ ظ…ط¨ط§ط´ط±ط© ط¹ظ„ظ‰ Central Park_x000a_â€¢ ظ„ط§ظ†ط¯ط³ظƒظٹط¨ ط±ط§ط¦ط¹ ظˆظ…ط³ط§ط­ط§طھ ظ…ظپطھظˆط­ط©_x000a_ظ†طµظپ طھط´ط·ظٹط¨ ط¨ط¬ظˆط¯ط© ط¹ط§ظ„ظٹط©_x000a_â€¢ طھط´ط·ظٹط¨ ط®ط§ط±ط¬ظٹ ظƒط§ظ…ظ„ + ظ…طµط§ط¹ط¯ ظˆط¥ظ†طھط±ظƒظ…_x000a_â€¢ ط¨ط§ط¨ ط´ظ‚ط© ظ…طµظپط­طŒ طھط£ط³ظٹط³ ظƒظ‡ط±ط¨ط§ط، ظˆط³ط¨ط§ظƒط©طŒ ط£ظ„ظˆظ…ظ†ظٹظˆظ… P.S_x000a_ط¬ط±ط§ط¬ط§طھ ظˆظ…ط¯ط§ط®ظ„ ظ…ظ†ظپطµظ„ط© ظ„ظƒظ„ ظ…ط¨ظ†ظ‰_x000a_â€¢ ط±ط§ط­ط© ظˆط®طµظˆطµظٹط© ظƒط§ظ…ظ„ط© ظ„ظ„ط³ظƒط§ظ†_x000a_ظ…ط¬طھظ…ط¹ ط³ظƒظ†ظٹ ظ…طھظƒط§ظ…ظ„_x000a_â€¢ ظƒظ…ط¨ظˆظ†ط¯ ظ‡ط§ط¯ط¦ ظˆط¢ظ…ظ†_x000a_â€¢ ط®ط¯ظ…ط§طھ ظ…طھظƒط§ظ…ظ„ط© (ط£ظ…ظ† â€“ طµظٹط§ظ†ط© â€“ ظ…ظ†ط§ط·ظ‚ طھط±ظپظٹظ‡ظٹط©)_x000a_ظپط±طµط© ط§ط³طھط«ظ…ط§ط±ظٹط© ظ…ط¶ظ…ظˆظ†ط©_x000a_â€¢ ط£ط³ط¹ط§ط± ط­ط¬ط² ظ‚ط¯ظٹظ…ط©_x000a_â€¢ ط®ط·ط· ط³ط¯ط§ط¯ ظ…ط±ظ†ط© ط­طھظ‰ 6 ط³ظ†ظˆط§طھ_x000a_â€¢ ط§ط±طھظپط§ط¹ ظ…ط³طھظ…ط± ظپظٹ ظ‚ظٹظ…ط© ط§ظ„ط¹ظ‚ط§ط±_x000a_ظ„ظ„طھظˆط§طµظ„_x000a_01100009357"/>
    <s v="Nile Boulevard, New Cairo City, Cairo"/>
    <x v="2"/>
    <s v="145 sqm"/>
    <x v="3"/>
    <x v="2"/>
    <d v="2025-08-07T00:00:00"/>
    <s v="Installments"/>
    <n v="9"/>
    <s v="2,800,000 EGP"/>
  </r>
  <r>
    <n v="30000000"/>
    <s v="OWN YOUR SEA VIEW UNIT FULLY FINISHED ON SANDY BEACH IN SIDI HENESH WITH (LIMITED TIME OFFER)_x000a_-------------------------------------------_x000a_Unit Details:_x000a_Type of Property: Villa_x000a_Number of Bedrooms: 3 +NANNY'S ROOM_x000a_Number of Bathrooms: 4_x000a_---------------------------------------------------_x000a_Hospitality &amp; Leisure:_x000a_Boutique beachfront hotel_x000a_Elegant clubhouse with social spaces and lounge areas_x000a_Sea Cinema â€“ open-air beach cinema under the stars_x000a_Dining &amp; Retail:_x000a_Multiple cafأ©s and restaurants_x000a_On-site grocery store and convenience shopping_x000a_Wellness &amp; Recreation:_x000a_Multiple swimming pools_x000a_Fitness center (gym)_x000a_Spa &amp; relaxation areas_x000a_Landscaped gardens and walking paths_x000a_Family-Friendly:_x000a_Safe, gated community_x000a_Peaceful, low-density design_x000a_Walkable environment, ideal for families_x000a_Security &amp; Services:_x000a_24/7 security &amp; surveillance (CCTV)_x000a_Gated entrances with controlled access_x000a_Full maintenance &amp; gardening services_x000a_-----------------------------------------------------------_x000a_About The Developer:_x000a_is the brain child development of three big names in the Egyptian market who have formed BAM, a Joint-Venture of:_x000a_El Abd the visionary who identified Sidi Heneish Bay more than 30 years ago as the crown jewel of the North Coast and established one of the best selected communities in Sahel, El Abd name became a synonymous to Sidi Heneish bay._x000a_Guira, a master contractor &amp; home developers founded by Badawy family, who are an authority in engineering &amp; construction in Alexandria and North Coast._x000a_J developments, a boutique high end development company by Ehab &amp; Waleed Mokhtar, a household name in West Cairo &amp; the creators of â€œFeel Goodâ€‌ neighborhood concept."/>
    <s v="Beit Al Bahr, Sidi Heneish, North Coast"/>
    <x v="1"/>
    <s v="190 sqm"/>
    <x v="3"/>
    <x v="5"/>
    <d v="2025-09-01T00:00:00"/>
    <s v="Cash"/>
    <n v="-4"/>
    <m/>
  </r>
  <r>
    <n v="19900000"/>
    <s v="About Ramla â€“ North Coast, Ras El Hekma_x000a_Developed by Marakez, Ramla North Coast is a serene coastal retreat located at the 215th kilometer on the Alexandriaâ€“Marsa Matrouh Road (International Coastal Road) in Ras El Hekma, Egypt._x000a_Ramla was designed as more than just a vacation destination â€” it's a vibrant, soulful place where families and friends can come together to celebrate life, nature, and connection. It offers a unique blend of simplicity and luxury, delivering an effortlessly relaxing atmosphere._x000a_Prime Location_x000a_The location of Ramla Sahel was strategically selected for convenience and accessibility. Its central position places it near the regionâ€™s most iconic destinations and luxury developments:_x000a_Just 10 minutes from Caesar Ras El Hekma_x000a_20 minutes from Almaza Bay_x000a_45 minutes from Hacienda Red_x000a_This proximity ensures youâ€™re never far from the action â€” while still enjoying the calm, pristine environment Ramla offers._x000a_Resort Highlights &amp; Amenities_x000a_Ramla delivers an exceptional coastal lifestyle through a wide range of facilities, including:_x000a_Expansive private beachfront with a variety of water and leisure activities_x000a_Lush, natural landscapes designed for relaxation and unwinding_x000a_Outdoor and wellness spaces built to inspire peace and tranquility_x000a_Family-friendly zones and entertainment options_x000a_Whether you're looking for adventure or a peaceful escape, Ramla North Coast seamlessly combines both."/>
    <s v="Ramla Lakeside, Qesm Ad Dabaah, North Coast"/>
    <x v="0"/>
    <s v="151 sqm"/>
    <x v="2"/>
    <x v="2"/>
    <d v="2025-08-31T00:00:00"/>
    <s v="Installments"/>
    <n v="-4"/>
    <m/>
  </r>
  <r>
    <n v="14400000"/>
    <s v="ط´ط§ظ„ظٹظ‡ 241 ظ…طھط±_x000a_3 ط؛ط±ظپ   4 ط­ظ…ط§ظ…_x000a_ظ…ظ‚ط¯ظ… 7.200.000_x000a_ظ…طھط¨ظ‚ظٹ 7.200.000_x000a_ط§ط³طھظ„ط§ظ… 2025_x000a_طھطھظ…ظٹط² Direction White North Coast ط¨طھطµط§ظ…ظٹظ…ظ‡ط§ ط§ظ„ط¹طµط±ظٹط© ط§ظ„طھظٹ ط§ظ…طھط²ط¬طھ ظ…ط¹ ط§ظ„ط·ط¨ظٹط¹ط© ط§ظ„ط³ط§ط­ط±ط© ط¨ط·ط±ظٹظ‚ط© ظ…طھط¬ط§ظ†ط³ط©طŒ ظˆطھط¶ظ… ط§ظ„ظ‚ط±ظٹط© ظˆط­ط¯ط§طھ ط³ظƒظ†ظٹط© ظ…طھظ†ظˆط¹ط© ظˆظ…ط®طھظ„ظپط© ط§ظ„ظ…ط³ط§ط­ط§طھ ظƒظٹ طھطھظ†ط§ط³ط¨ ظ…ط¹ ط±ط؛ط¨ط§طھ ظ…ط®طھظ„ظپ ط§ظ„ط¹ظ…ظ„ط§ط،طŒ ظƒظ„ ظ‡ط°ط§ ط¨ط£ط³ط¹ط§ط± طھظ†ط§ظپط³ظٹط© ظ„ط§ ظٹظ…ظƒظ† ظ…ظ‚ط§ط±ظ†طھظ‡ط§ ط¨ط£ط³ط¹ط§ط± ط§ظ„ظ…ط´ط§ط±ظٹط¹ ط§ظ„ط£ط®ط±ظ‰._x000a_ظٹظ…ظƒظ†ظƒ ط§ظٹط¶ط§ ط§ظ„ط§ط³طھط«ظ…ط§ط± ظپظ‰ ظˆط§ط­ط¯ط© ظ…ظ† ط£ظپط¶ظ„ ط§ظ„ظ…ط´ط§ط±ظٹط¹ ط§ظ„ط§ط³طھط«ظ…ط§ط±ظٹط© ظپظ‰ ط±ط§ط³ ط§ظ„ط­ظƒظ…ط©طŒ ظˆظ‡ظˆ ظ‚ط±ظٹط© ط³ظ…ط± ط±ط§ط³ ط§ظ„ط­ظƒظ…ط© ظ…ظ† طھط·ظˆظٹط± ط´ط±ظƒط© ط§ظ„ط§ظ‡ظ„ظٹ طµط¨ظˆط± ظˆط§ظ„طھظ‰ طھطھظ†ظˆط¹ ظˆط­ط¯طھظ‡ط§ ط§ظ„ظ…طµظٹظپظٹط© ط¨ط£ط³ط¹ط§ط± طھظ†ط§ظپط³ظٹط© ظˆط®ط·ط· ط³ط¯ط§ط¯ طھظ…طھط¯ ط§ظ„ظ‰ 9 ط³ظ†ظˆط§طھطŒ ط­ظٹط« ظٹط¶ظ…ظ† ظ„ظƒ ط¯ط®ظ„ ظ…ط§ط¯ظ‰ ط«ط§ط¨طھ ظ…ظ† ط®ظ„ط§ظ„ ط§ظٹط¬ط§ط± ط§ظ„ظˆط­ط¯ط© ط§ظˆ ط§ط¹ط§ط¯ط© ط¨ظٹط¹ظ‡ط§ ط¨ظپط¶ظ„ ط­ط±ظƒط© ط§ظ„ط³ظٹط§ط­ ط¹ظ„ظٹظ‡ط§."/>
    <s v="Direction White, Ras Al Hekma, North Coast"/>
    <x v="0"/>
    <s v="241 sqm"/>
    <x v="3"/>
    <x v="5"/>
    <d v="2025-08-18T00:00:00"/>
    <s v="Cash"/>
    <n v="9"/>
    <s v="7,200,000 EGP"/>
  </r>
  <r>
    <n v="600000"/>
    <s v="2 bed prime location for sale in Sheikh Zayed, Village West compound._x000a_The unit is 123 square meters with 2 bedrooms and 2 bathrooms._x000a_offering a distinctive view of the landscape._x000a_The price of the unit includes access to the club and parking._x000a_The payment terms entail a 30% down payment and the remaining amount to be paid over 4 years._x000a_The compound is located on Nuzha Street, in front of Hyper One (minutes away from Hyper One and Al Ahly Club)._x000a_The amenities within the compound include a mosque, parking, a commercial area, security, a sports club, restaurants, cafes, and aآ swimmingآ pool."/>
    <s v="Village West, Sheikh Zayed Compounds, Sheikh Zayed City, Giza"/>
    <x v="2"/>
    <s v="130 sqm"/>
    <x v="2"/>
    <x v="2"/>
    <d v="2025-08-27T00:00:00"/>
    <s v="Cash"/>
    <n v="-4"/>
    <m/>
  </r>
  <r>
    <n v="15500000"/>
    <s v="Chalet for sale in Azha ras alhikma direct on lagoon fully finished + ACs &amp; kitchen in a prime location_x000a_Area : 107 SQM_x000a_Bedrooms : 2_x000a_Bathroom : 2_x000a_Fully finished + ACs &amp; kitchen cabinets - direct on crystal lagoon_x000a_Installments up to 10 years_x000a_for more details :_x000a_01220508402 - Omar El-Sherif_x000a_."/>
    <s v="Azha North, Ras Al Hekma, North Coast"/>
    <x v="0"/>
    <s v="107 sqm"/>
    <x v="2"/>
    <x v="2"/>
    <d v="2025-08-31T00:00:00"/>
    <s v="Installments"/>
    <n v="-4"/>
    <m/>
  </r>
  <r>
    <n v="3800000"/>
    <s v="Chalet Prime Location in Hacienda West_x000a_Area:65, directly on the View from two sides_x000a_Prime location in the heart of North Coast , minutes from Allamein Airport and Ras el Hekma City_x000a_Consists of: 1 bedrooms - 1 bathrooms_x000a_Total :6100000_x000a_Downpayment : 3800000_x000a_For viewing and visiting the compound, call now: 01145402513_x000a_M.S-4062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_x000a_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_x000a_Great attention is given to infrastructure and services within the compounds, including advanced electricity and water networks, expansive green spaces, and recreational facilities. Devel"/>
    <s v="Hacienda White, Sidi Abdel Rahman, North Coast"/>
    <x v="0"/>
    <s v=" 65 sqm"/>
    <x v="0"/>
    <x v="0"/>
    <d v="2025-08-28T00:00:00"/>
    <s v="Installments"/>
    <n v="-4"/>
    <m/>
  </r>
  <r>
    <n v="26000000"/>
    <s v="4-Bedroom Town House with Garden | 236 SQM | Crescent Walk â€“ New Cairo_x000a____x000a_Unit Details:_x000a_â€¢ Type: Town House_x000a_â€¢ Built-Up Area: 236 SQM_x000a_â€¢ 4 Bedrooms_x000a_â€¢ 5 Bathrooms_x000a_â€¢ Private Garden_x000a_â€¢ Fully Finished with Modern Contemporary Design_x000a_â€¢ Spacious Layout with Elegant Living Areas_x000a____x000a_Facilities &amp; Lifestyle at Crescent Walk:_x000a_â€¢ Clubhouse with community lounges_x000a_â€¢ Landscaped parkways &amp; green spaces_x000a_â€¢ Swimming pools &amp; leisure zones_x000a_â€¢ Kidsâ€™ play areas_x000a_â€¢ 24/7 private security &amp; professional maintenance_x000a____x000a_About the Developer â€“ Marakez:_x000a_Part of the Fawaz AlHokair Group, Marakez is a leading developer recognized for creating future-forward communities that blend quality, lifestyle, and prime locations._x000a____x000a_Prime Location â€“ New Cairo:_x000a_â€¢ 7 mins from Golden Square_x000a_â€¢ 12 mins from AUC_x000a_â€¢ 14 mins from District 5_x000a_â€¢ Easy access to main roads &amp; essential services_x000a____x000a_For Price &amp; Viewing:_x000a_Aiah Ali_x000a_â€¢ 01212535070_x000a_â€¢ aya.el-sayed@egyptbestproperties.com"/>
    <s v="Azad, 5th Settlement Compounds, The 5th Settlement, New Cairo City, Cairo"/>
    <x v="7"/>
    <s v="236 sqm"/>
    <x v="1"/>
    <x v="4"/>
    <d v="2025-09-02T00:00:00"/>
    <s v="Cash"/>
    <n v="-4"/>
    <m/>
  </r>
  <r>
    <n v="2750000"/>
    <s v="Ready-to-Move Apartment in the Heart of Old Zayed_x000a_A stunning apartment located in the heart of Old Sheikh Zayed._x000a_â–ھï¸ڈ Pay only 10% down payment and spread the rest over 10 years_x000a_OR_x000a_â–ھï¸ڈ Pay EGP 2,750,000 in full and enjoy a special discount!_x000a_Apartment Details:_x000a_Bedrooms: 3_x000a_Bathrooms: 3_x000a_Reception: 3-piece_x000a_Balcony with open view of ZED Towers_x000a_Fully finished, ready-to-move units available_x000a_with up to 4-year installment plans."/>
    <s v="Elysium, Sheikh Zayed Compounds, Sheikh Zayed City, Giza"/>
    <x v="2"/>
    <s v="180 sqm"/>
    <x v="3"/>
    <x v="5"/>
    <d v="2025-07-31T00:00:00"/>
    <s v="Installments"/>
    <n v="-4"/>
    <m/>
  </r>
  <r>
    <n v="6650000"/>
    <s v="Looking for a premium apartment in a fully serviced compound in a prime Sheikh Zayed location?_x000a_We offer a 184 sqm apartment on a typical floor in one of the most vibrant areas of Old Zayed, surrounded by top compounds like Al Rabwa, Royal City, Cairo Gate by Emaar, and Village West by Dorra._x000a_Apartment Features:_x000a_3 bedrooms (including a master with en-suite)_x000a_3 bathrooms_x000a_Spacious 3-piece reception area_x000a_Large kitchen_x000a_2 terraces with open landscape view_x000a_Excellent layout &amp; modern design_x000a_Prime Location:_x000a_Surrounded by major malls_x000a_Close to main roads: Mehwar, Desert Road &amp; Ring Road_x000a_Enjoy Full Hotel-Style Services:_x000a_Housekeeping &amp; laundry_x000a_Event/party hall_x000a_Outdoor gym &amp; jogging track_x000a_Kidsâ€™ area &amp; BBQ zone_x000a_Restaurants_x000a_Underground parking &amp; car wash_x000a_Concierge services: flight booking, doctor appointments, limousine service, and school transportation_x000a_Flexible payment plan:_x000a_Up to 10 years installments with no interest_x000a_Lowest down payment_x000a_Cash price available / installment price over 120 months_x000a_Contact us via phone or WhatsApp for full detaills"/>
    <s v="Zayed Regency, Sheikh Zayed Compounds, Sheikh Zayed City, Giza"/>
    <x v="2"/>
    <s v="186 sqm"/>
    <x v="3"/>
    <x v="5"/>
    <d v="2025-07-07T00:00:00"/>
    <s v="Installments"/>
    <n v="-4"/>
    <m/>
  </r>
  <r>
    <n v="1814400"/>
    <s v="Three Pyramids Project (Owner: ABTAL Real Estate Development)_x000a_The project is distinguished by its prime location in front of Hawaii Caesar Hotel and the Tourist Promenade, along with its complete hotel services, ensuring a secure investment and a residence that combines comfort and luxury._x000a____________________________________________________________x000a_Unit Details:_x000a_Area: 60 sqm_x000a_View: Side Sea View_x000a_Finishing: Fully_x000a_Delivery Date: End of this year_x000a____________________________________________________x000a_Payment Plan:_x000a_Total Price: 1,814,400_x000a_Down Payment (40%): 725,760_x000a_Quarterly Installment: 136,080_x000a_Installment Duration: 24 months_x000a_&quot;15% discount for cash payments_x000a_________________________________________x000a_Project Features:_x000a_Swimming Pools_x000a_Gym, Spa, and Green Relaxation Areas_x000a_Kids Play Area_x000a_Commercial and Touristic Mall within the Resort_x000a_24-Hour Security for your peace of mind_x000a_Modern Elevators_x000a_On-site Management and Maintenance Office_x000a___________________________________________________x000a_Prime Location:_x000a_First row on the Tourist Promenade_x000a_In front of Sunrise Hawaii Caesar Hotel_x000a_8 minutes from Universities and Schools_x000a_15 minutes from El Gouna_x000a_20 minutes from the International Airport_x000a________________________________________________x000a_For more information and inquiries:_x000a_Email: farah@abtalhurghada.com_x000a____________________________________"/>
    <s v="Al Ahyaa District, Hurghada, Red Sea"/>
    <x v="2"/>
    <s v=" 60 sqm"/>
    <x v="6"/>
    <x v="0"/>
    <d v="2025-09-02T00:00:00"/>
    <s v="Cash"/>
    <n v="7"/>
    <s v="725,760 EGP"/>
  </r>
  <r>
    <n v="5182000"/>
    <s v="A fully finished Three -bedroom apartment in Al Maqsad Park by City Edge Developments, in the New Administrative Capital._x000a_Built-up Area: 139 square meters_x000a_Bedrooms: 3_x000a_Bathrooms: 2_x000a_Delivery Date: December 2025_x000a_Finishing: Fully finished_x000a_Payment Method:_x000a_Downpayment 5% over 5 years installment_x000a_Enjoy living in a luxurious residential compound featuring green spaces, premium amenities, and services, with easy access to the New Administrative Capital's most important landmarks._x000a_===_x000a_*Internal Division:_x000a_The complex consists of several distinct residential areas, including:_x000a_Al Maqsad Residence_x000a_Avenue Walk_x000a_Al Maqsad Park_x000a_Neighborhood Walk_x000a_Manazil Walk_x000a_* Main Services and Facilities:_x000a_Spacious green spaces and landscapes_x000a_Jogging and cycling paths_x000a_Community center and recreational areas_x000a_Integrated commercial area with restaurants and cafes_x000a_Service centers within the complex_x000a_Fiber Internet services, IPTV, Triple Play system_x000a_24-hour security - CCTV - Video intercom_x000a_* Strategic Location:_x000a_Minutes from Ain Sokhna Road and Suez Road_x000a_Close to the capital's landmarks:_x000a_Capital Airport_x000a_Olympic City_x000a_Financial and Business District_x000a_Canadian and European Universities_x000a_Cultural and Educational City_x000a_Distances from the complex:_x000a_32 km from Cairo International Airport_x000a_45 km from downtown Cairo_x000a_55 km from Ain Sokhna"/>
    <s v="Al Maqsad, New Capital Compounds, New Capital City, Cairo"/>
    <x v="2"/>
    <s v="139 sqm"/>
    <x v="3"/>
    <x v="2"/>
    <d v="2025-09-01T00:00:00"/>
    <s v="Installments"/>
    <n v="7"/>
    <s v="259,100 EGP"/>
  </r>
  <r>
    <n v="5288197"/>
    <s v="Own your apartment in a prime location in Mostakbal City_x000a_â€¢ The compound is located in Mostakbal City, wall to wall with Madinaty._x000a_â€¢ The compound is only 10 minutes away from the American University._x000a_â€¢ The project is located near the New Administrative Capital, with a distance of about 5 minutes only._x000a_Different payment plans available with installments up to 12 years_x000a_Unit layout:_x000a_â€¢ Area: 83sqm_x000a_â€¢ Number of bedrooms: 1_x000a_â€¢ Number of bathrooms: 1_x000a_â€¢ Reception_x000a_â€¢ Kitchen_x000a_â€¢ Terrace_x000a_Apartments for sale with installments in New Cairo_x000a_Apartments for sale with installments in Fifth Settlement_x000a_Apartments for sale in Sarai Compound_x000a_Apartments for sale in New Cairo with immediate delivery and installments_x000a_Apartments for sale in Mostakbal City with immediate delivery and installments_x000a_Apartments for sale in Fifth Settlement with installments_x000a_Apartments for sale in New Cairo with installments_x000a_Apartments for sale with immediate delivery and installments_x000a_Apartments for sale in Sarai Compound with installments"/>
    <s v="Sarai, Mostakbal City Compounds, Mostakbal City - Future City, Cairo"/>
    <x v="2"/>
    <s v=" 83 sqm"/>
    <x v="0"/>
    <x v="0"/>
    <d v="2025-09-01T00:00:00"/>
    <s v="Cash"/>
    <n v="-4"/>
    <m/>
  </r>
  <r>
    <n v="13200000"/>
    <s v="Project : Marbay_x000a_Developer : Marasem_x000a_More Information : 01288736478_x000a_---------------------------------------------------------_x000a_Type Chalet 141 SQM_x000a_3 Bedrooms_x000a_3 bathrooms_x000a_Fully Finished + Ac's + Kitchen Cabinets_x000a_Direct Sea View_x000a_Open Terrace + Landscape_x000a_more Details : 01288736478_x000a_---------------------------------------------------------_x000a_Master Plan &amp; Major Facilities of Mar Bay Ras El Hekma_x000a_Marbay Ras El Hekma was artistically master-planned and perfectly designed, reflecting the brilliance of the developing company. The world-renowned designer BDP is the artist behind crafting the master plan of Mar Bay._x000a_'''''''''''''''''''''''''''''''''''''''''''''''''''''''''''''''''''''''''''''''''''''''''''''''''''_x000a_In this master plan, Mar Bay North Coast covers 640 acres of land, with only 16% footprint, leaving out the remaining 84% for lush greenery and water bodies. Also, you can find 1250 meters of beachfront with 1.2 km of shoreline and 1200 meters of beachfront lagoons."/>
    <s v="Mar Bay, Ras Al Hekma, North Coast"/>
    <x v="0"/>
    <s v="141 sqm"/>
    <x v="3"/>
    <x v="5"/>
    <d v="2025-09-01T00:00:00"/>
    <s v="Cash"/>
    <n v="7"/>
    <s v="850,000 EGP"/>
  </r>
  <r>
    <n v="7800000"/>
    <s v="&quot;Townhouse Prime Location Exclusive in MV Ras Elhikma_x000a_Area:170, directly on the View from two sides_x000a_Prime location in the heart of North Coast , minutes from Allamein Airport and Ras el Hekma City_x000a_Consists of: 3 bedrooms - 3 bathrooms_x000a_down payment :7800000_x000a_Total Price : 10300000_x000a_For viewing and visiting the compound, call now: 01145402513_x000a_M.S-5100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_x000a_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_x000a_Great attention is given to infrastructure and services within the compounds"/>
    <s v="Mountain View, Ras Al Hekma, North Coast"/>
    <x v="1"/>
    <s v="170 sqm"/>
    <x v="3"/>
    <x v="5"/>
    <d v="2025-09-01T00:00:00"/>
    <s v="Installments"/>
    <n v="-4"/>
    <m/>
  </r>
  <r>
    <n v="7000000"/>
    <s v="Fully Finished Apartment with Garden for Sale in Fifth Square Compound â€“ Golden Square, in Front of Palm Hills, New Cairo (Developed by Al Marasem)_x000a_Location:_x000a_New Cairo â€“ Fifth Settlement â€“ Golden Square (Fifth Square by Al Marasem)_x000a_Unit Details:_x000a_â€¢ Built-up Area: 209 sqm_x000a_â€¢ Garden Area: 130 sqm_x000a_â€¢ 3 Bedrooms (including 1 Master)_x000a_â€¢ 3 Bathrooms_x000a_â€¢ Reception â€“ Kitchen â€“ Air Conditioners_x000a_â€¢ Luxuriously finished and ready to move_x000a_With a 7 million down payment and the remaining amount in long-term installments_x000a_â€¢ Clubhouse â€“ Fully equipped gym â€“ Kids' play areas_x000a_â€¢ Shopping malls and entertainment zones_x000a_â€¢ Designated areas for barbecues and gatherings_x000a_For inquiries: 01011007696"/>
    <s v="Moon Residences, Fifth Square, The 5th Settlement, New Cairo City, Cairo"/>
    <x v="2"/>
    <s v="209 sqm"/>
    <x v="3"/>
    <x v="5"/>
    <d v="2025-07-23T00:00:00"/>
    <s v="Cash"/>
    <n v="-4"/>
    <m/>
  </r>
  <r>
    <n v="18000000"/>
    <s v="Pebthouse for sale in new Cairo delivery now fully finished in a prime location near to cairo airport_x000a_Area : 242 SQM + Roof_x000a_Bedrooms : 3_x000a_Bathrooms : 3_x000a_Fully finished - Delivery now - Prime location_x000a_Installments up to 10 years_x000a_for more details :_x000a_01220508402 - Omar El-Sherif_x000a_."/>
    <s v="Stoda, Sheraton Al Matar, El Nozha, Cairo"/>
    <x v="5"/>
    <s v="245 sqm"/>
    <x v="3"/>
    <x v="5"/>
    <d v="2025-09-02T00:00:00"/>
    <s v="Installments"/>
    <n v="-4"/>
    <m/>
  </r>
  <r>
    <n v="60000000"/>
    <s v="- Emaar_x000a_- Soul_x000a_- For more details: 01113322254_x000a_** Unit Details **_x000a_- Unit Type : Standalone_x000a_- Built-up Area : 281_x000a_- Number of Bedrooms : 4 + Nanny's Bedroom_x000a_- Number of Bathrooms: 4 + Nanny's Bathroom_x000a_- Fully Finished_x000a_Emaar Misr developed Sol North Coast Resort on a vast area of â€‹â€‹700 acres in Ras El Hekma. It boasts an ideal location, just a short distance from kilometer 178 of the International Coastal Road (Alexandria-Marsa Matrouh Road), and a short drive from Marassi Abdel Rahman, one of Emaar's coastal communities._x000a_Sol Emaar features a comprehensive portfolio of destinations focused on fun and luxury, offering a wide range of delicious cloud-based experiences, entertainment specialties, luxurious waterfront shopping experiences, and Solo Head Boy Scout vacations from New York._x000a_Sol North Coast's Main Beach_x000a_Emaar Misr has intelligently utilized every square meter of its 700-acre project through the masterplan of Sol North Coast. It has developed a pioneering coastal destination with panoramic views of the Mediterranean Sea and unparalleled political engagement._x000a_Sol Emaar Resort is an attractive haven for tourists in Egypt's North Coast, where you can rejuvenate your mind and body. Its main detail explains the group of communities, which"/>
    <s v="Soul North Coast, Qesm Ad Dabaah, North Coast"/>
    <x v="1"/>
    <s v="800 sqm"/>
    <x v="1"/>
    <x v="1"/>
    <d v="2025-08-25T00:00:00"/>
    <s v="Cash"/>
    <n v="9"/>
    <s v="3,000,000 EGP"/>
  </r>
  <r>
    <n v="21500000"/>
    <s v="Hurghada_Soma Bay_x000a_Villa For Sale Prime Location With Private Garden,Down Payment 5%_x000a_BUA : 122M_x000a_Plot 418 M_x000a_Garden 296M_x000a_2 bedrooms - 2 bathrooms- Reception-Terrace-Kitchen_x000a_Fully finished_x000a_Cash Discount 35%_x000a_First Installment After One Year_x000a_Down payment: Million_x000a_installment 7-year_x000a_For more Details : 01066699903_x000a_---------------------------------------_x000a_Bay West Soma Bay Master Plan and Facilities_x000a_Covered in lush landscapes and sparkling water bodies, the Bay West Soma Bay Neighborhood master plan was well crafted. Every house in the phase is surrounded by enchanting, scenic views._x000a_BayWest Soma Bay perfectly blends luxury and magical natural elements. It is a tranquil backdrop on the Red Sea coast, where vacationers can destress, rejuvenate their bodies &amp; minds, and create memorable moments._x000a_In addition to the picturesque elements, the Bay West Soma Bay master plan outlines a commercial area. Residents will find everything they need within walking distance from their coastal house._x000a_The state-of-the-art commercial area of BayWest Somabay boasts a wide range of retail outlets, shops, restaurants, and cafes. It is an unmatched social and recreational hub in the neighborhood._x000a_Furthermore, the developer implemented impeccable services in Bay West Valley to guarantee homeowners' utmost convenience. They include but are not limited to 24/7 security measures and maintenance services._x000a_--------------------------------------_x000a_Real Estate for Sale in Soma Bay_x000a_Chalets for Sale in Soma Bay_x000a_3-Bedroom Houses and Villas for Sale in Soma Bay_x000a_Apartments for Sale in Soma Bay_x000a_4-Bedroom Houses and Villas for Sale in Soma Bay_x000a_Penthouses for Sale in Soma Bay_x000a_2-Bedroom Houses and Villas for Sale in Soma Bay_x000a_Duplexes for Sale in Soma Bay_x000a_Furnished Houses and Villas for Sale in Soma Bay_x000a_5-Bedroom Houses and Villas for Sale in Soma Bay"/>
    <s v="Wadi Jebal, Soma Bay, Safaga, Hurghada, Red Sea"/>
    <x v="1"/>
    <s v="122 sqm"/>
    <x v="2"/>
    <x v="2"/>
    <d v="2025-09-02T00:00:00"/>
    <s v="Installments"/>
    <n v="9"/>
    <s v="1,075,000 EGP"/>
  </r>
  <r>
    <n v="60000000"/>
    <s v="A rare chance you donâ€™t wanna miss!!_x000a_Ultra-Luxury Units With EARLY DELIVERY, Insane SEA + LAGOON VIEWS , and SUPER Long Installment plans!!_x000a_Act fast before it's gone!!_x000a_Secure Your Spot Now \ 01279307130_x000a______________________________________________________x000a_Unit Details:_x000a_- 5 Bedrooms_x000a_- 5 Bathrooms_x000a_- Family Living Room_x000a_- Land : 670 Meter_x000a_- Large Garden_x000a_For More Details Contact Me / 01279307130_x000a______________________________________________x000a_You will find ramla on the pristine shores of Ras El Hekma bay at the heart of the North Coastâ€™s new happening destination. This stunning location encapsulates the calmest of seas and white sands stretching along a 1.4 kilometre beach. it is ideally situated on the 215th kilo of International Coastal Road_x000a_Next to Modon Ras El Hikma_x000a_20 Min away from Almaza Bay_x000a_10 Min away from Caesar_x000a_35 Min away from Hacienda Red_x000a__________________________________________________x000a_Villa for sale in North Coast_x000a_cheap Chalet for sale_x000a_new Apartments for sale in North Coast_x000a_Your dream home in Ralma_x000a_Villas for sale in Ralma_x000a_2 bedrooms Apartment for sale in Ralma_x000a_property for sale in Ramla_x000a_Flat for sale in Ramla_x000a_Immediate Delivery_x000a_Special Prices"/>
    <s v="Ramla Lakeside, Qesm Ad Dabaah, North Coast"/>
    <x v="1"/>
    <s v="670 sqm"/>
    <x v="5"/>
    <x v="4"/>
    <d v="2025-08-31T00:00:00"/>
    <s v="Cash"/>
    <n v="9"/>
    <s v="3,000,000 EGP"/>
  </r>
  <r>
    <n v="8000000"/>
    <s v="225mآ² fully furnished apartment for sale in a prime location._x000a_3 bedrooms, including a master bedroom, 3 bathrooms, fully equipped kitchen, 2020 construction_x000a_Al-Mona Street_x000a_Cash sale: 8,000,000 pounds_x000a_Installment sale: 8,500,000, 50% down payment and the rest over a year Seafront_x000a_For more information, please contact: 01009175275_x000a_-------------------------------------------------------------------------------------_x000a_GUIDES REAL ESTATE (GRE)_x000a_Learn more about our company services._x000a_Through us, you will deal with the largest number of real estate experts in Egypt._x000a_Guides Provides Solutions Whether you are buying, selling, renting, investing, we offer you a quick and easy search experience and We support you with the information and advice you need to achieve your real estate goals._x000a_Your new workplace or home should be distinctive and fulfill all your dreams, through flexible and cost-effective spaces, spaces designed to help you succeed and comfort in a privileged environment."/>
    <s v="Mohi Al Din Abou El Ezz St., Mohandessin, Giza"/>
    <x v="2"/>
    <s v="225 sqm"/>
    <x v="3"/>
    <x v="5"/>
    <d v="2025-08-21T00:00:00"/>
    <s v="Installments"/>
    <n v="9"/>
    <s v="4,000,000 EGP"/>
  </r>
  <r>
    <n v="55000000"/>
    <s v="Detached villa for sale in Swan Lake Residence, Hassan Allam, First Settlement_x000a_With flexible payment plans over the longest payment period + prime location + (at a bargain price)_x000a_Land area: 374 square meters_x000a_Building area: 388 square meters_x000a_Total price: 55 million_x000a_Down payment: 41,844.40_x000a_Remaining balance: 13,155,600_x000a_For contact and viewing: 01020119965_x000a_Sales: Mostafa Hawari"/>
    <s v="Swan Lake Residence, 5th Settlement Compounds, The 5th Settlement, New Cairo City, Cairo"/>
    <x v="1"/>
    <s v="388 sqm"/>
    <x v="5"/>
    <x v="4"/>
    <d v="2025-09-01T00:00:00"/>
    <s v="Installments"/>
    <n v="-4"/>
    <m/>
  </r>
  <r>
    <n v="8000000"/>
    <s v="Project Name: Jefaira_x000a_Developer: Inertia_x000a_For more details please contact:_x000a_+201225568120_x000a_=========_x000a_Unit details_x000a_Unit Type: Town House_x000a_Number Of Bedroom: 4_x000a_Number Of Bathroom: 5_x000a_-Reception_x000a_-Terrace_x000a_-Nanny's Room_x000a_-Fully Finished_x000a_===========_x000a_Project Location:_x000a_Jefaira North Coast Resort is:_x000a_-35 km away from Ras El Hekmaâ€™s coastline._x000a_-65 km away from Al Alamein Hotel._x000a_-170 km away from Borg El Arab International Airport._x000a_-200 km away from Alexandria._x000a_-300 km away from Cairo._x000a_==========_x000a_About Jefaira :_x000a_Extending over an impressive 5.5 million square meters in Ras El Hekma, Jefaira North Coast Resort is one of the finest developments by Inertia Egypt. It is a year-round coastal destination, exhibiting a broad array of distinguishing amenities. Vacationers get to experience the comfort and luxury of city life within a flawless beach gateway._x000a_Inertia Egypt crafted the master plan of Jefaira Ras El Hekma to preserve the areaâ€™s natural topography. It outlines a wide range of natural elements, lavish beach houses, and the finest facilities. It is a self-sustained community where its residents can live, work, escape the hassle of the city, and rejuvenate._x000a_The location of Jefaira North Coast was smartly picked, specifically on the 190th km of Alexandria - Marsa Matrouh Road. It is close to other elite resorts as well in Ras El Hekma._x000a_For more details please contact:_x000a_+201225568120"/>
    <s v="Jefaira, Ras Al Hekma, North Coast"/>
    <x v="1"/>
    <s v="335 sqm"/>
    <x v="1"/>
    <x v="4"/>
    <d v="2025-08-31T00:00:00"/>
    <s v="Cash"/>
    <n v="-4"/>
    <m/>
  </r>
  <r>
    <n v="16000000"/>
    <s v="Townhouse Middle in The Med_x000a_Area:187 , directly on the View from two sides_x000a_Prime location in the heart of North Coast , minutes from Allamein Airport and Ras el Hekma_x000a_Consists of: 4 bedrooms - 4 bathrooms_x000a_with a 5% down payment + equal installments over 9 years without interest_x000a_For viewing and visiting the compound, call now: 01145402513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
    <s v="The Med, Ras Al Hekma, North Coast"/>
    <x v="7"/>
    <s v="187 sqm"/>
    <x v="1"/>
    <x v="1"/>
    <d v="2025-09-02T00:00:00"/>
    <s v="Installments"/>
    <n v="-4"/>
    <m/>
  </r>
  <r>
    <n v="16000000"/>
    <s v="Own your fully finished town house and live in it with a down payment and the rest paid in installments. Fixed and liveable._x000a_3-bedroom_x000a_155 square meters._x000a_Master bedroom with bathroom._x000a_Two bedrooms._x000a_bathroom_x000a_Reception._x000a_Closed kitchen._x000a_Very prime view_x000a_===================_x000a_payment plan_x000a_starting 0% dp to intsallment long time_x000a_=============_x000a_Project Location_x000a_In the Fifth Settlement, at the end of the Southern 90th Street, after the American University, in front of Hyde Park_x000a_20 minutes from the Suez Road_x000a_25 minutes from the Maadi Ring Road_x000a_10 minutes from the Northern 90th Street_x000a_========================_x000a_24-hour security and surveillance cameras_x000a_A fully integrated and fully occupied compound_x000a_Fountain View_x000a_Housekeeping_x000a_Private garage_x000a_Shopping mall"/>
    <s v="Taj City, 5th Settlement Compounds, The 5th Settlement, New Cairo City, Cairo"/>
    <x v="7"/>
    <s v="155 sqm"/>
    <x v="3"/>
    <x v="5"/>
    <d v="2025-09-01T00:00:00"/>
    <s v="Cash"/>
    <n v="-4"/>
    <m/>
  </r>
  <r>
    <n v="6000000"/>
    <s v="With Down payment 1 million and 800 thousands Own your Ready To Move Fully Finished Apartment at  Badya In 6th Of October City By Palm Hills Developments......_x000a_Apartment 195 sqm_x000a_3 Bedrooms-4 Bathrooms_x000a_Ready To Move...._x000a_Down Payment 10% only and the rest over years...._x000a_*Location  of Badya_x000a_The location of Badya was wisely chosen to reflect brilliance and convenience. The city of Badya is located in the 6th of October City on the Oasis Road bridging the gap between East and West Cairo and overlooking the Great Pyramids of Giza, the New Egyptian National Museum, Juhayna Square, and the new Sphinx Airport._x000a_Badya is a well-connected city, within a city giving you unprecedented access._x000a_*This location makes Badya:_x000a_Only 15 minutes away from the October center_x000a_30 km away from Cairoâ€™s center_x000a_Easily accessible from 4 main roads are the 26th of July corridor, Al Wahat Road, Zowail Road, and Al Daery Al Awsaty Ring Road_x000a_-25 minutes away from  Mall of Egypt_x000a_-25 minutes away from Palm Hills October_x000a_-25 minutes away from The Great Pyramids_x000a_-25 minutes away from the Grand Egyptian Museum_x000a_-35 minutes away from The Sphinx Airport_x000a_-45 minutes away from New Cairo_x000a_-50 minutes away from The New Capital_x000a_For more details please contact us...."/>
    <s v="Badya Palm Hills, 6 October Compounds, 6 October City, Giza"/>
    <x v="2"/>
    <s v="195 sqm"/>
    <x v="3"/>
    <x v="1"/>
    <d v="2025-08-19T00:00:00"/>
    <s v="Installments"/>
    <n v="-4"/>
    <m/>
  </r>
  <r>
    <n v="10000000"/>
    <s v="Developer : ORA_x000a_Project Name : Silver Sands_x000a_For more details please contact :_x000a_+201225568120_x000a_=============_x000a_Unit details_x000a_Unit Type : Chalet_x000a_Number Of Bedroom : 1_x000a_Number Of Bathroom : 2_x000a_-Reception_x000a_-Terrace_x000a_-Fully Finished_x000a_===========_x000a_About Silversands_x000a_Silver Sands in Sidi Heneish, North Coast is an artwork by Ora Developers rolling over 506 acres (2,112,600 SQM) of land. The project is created to be a summer resort, an easy-peasy weekend destination, and an all-year-season gateway._x000a_The project is created to be â€œ the Egyptian rendition of Grenadaâ€™s Silversands with the essence of Caribbean luxury lifestyle livingâ€‌. This is clearly seen in every element of Silver Sands North Coast including its endless amenities, prime location, and premium properties._x000a_==========_x000a_The location of Silversands was carefully chosen in Sidi Heneish to complete the symphony of comfort embedded in the project. You can find Silver Sands on the 243rd km of Alexandria - Marsa Matrouh Road (also known as the International Coastal Road)._x000a_The prime Silver Sands location is right between Hacienda Heneish and Almaza Bay, making it:_x000a_138 km away from Alamein_x000a_202 km away from Borg Al Arab_x000a_220 km away from Alexandria_x000a_360 km away from Cairo_x000a_For more details please contact:_x000a_+201225568120"/>
    <s v="Silver Sands, Qesm Marsa Matrouh, North Coast"/>
    <x v="0"/>
    <s v=" 86 sqm"/>
    <x v="0"/>
    <x v="2"/>
    <d v="2025-08-13T00:00:00"/>
    <s v="Cash"/>
    <n v="-4"/>
    <m/>
  </r>
  <r>
    <n v="19300000"/>
    <s v="Penthouse for Sale in Somabay â€“ Prime Location_x000a_3 Bedrooms | 188 sqm BUA | Fully Finished | Lagoon View_x000a_For more details, contact:_x000a_Mahy Assem | 01220514187_x000a_Unit Details:_x000a_Built-up Area: 188 sqm_x000a_Bedrooms: 3_x000a_Finishing: Fully Finished_x000a_View: Lagoon View_x000a_About Somabay:_x000a_Somabay is one of the Red Seaâ€™s most exclusive destinations, combining natural beauty with world-class facilities. Perfectly located:_x000a_54 km south of Hurghada (approx. 50 minutes)._x000a_15 km north of Safaga (approx. 22 minutes)._x000a_156 km from Sharm El Sheikh (accessible by car or bus)._x000a_45 km from Hurghada International Airport._x000a_Amenities &amp; Facilities:_x000a_Exclusive Clubhouse &amp; Social Areas_x000a_Swimming Pools &amp; Kidsâ€™ Pools_x000a_Childrenâ€™s Play Areas_x000a_Retail Zone with Shops &amp; Cafأ©s_x000a_Wellness &amp; Fitness Centers_x000a_Jogging &amp; Cycling Tracks_x000a_For inquiries &amp; bookings:_x000a_Mahy Assem | 01220514187"/>
    <s v="Blanca Gardens, Soma Bay, Safaga, Hurghada, Red Sea"/>
    <x v="3"/>
    <s v="188 sqm"/>
    <x v="3"/>
    <x v="5"/>
    <d v="2025-08-28T00:00:00"/>
    <s v="Installments"/>
    <n v="7"/>
    <s v="965,000 EGP"/>
  </r>
  <r>
    <n v="4000000"/>
    <s v="Receive your unit in Taj City Compound, Fifth Settlement, in front of the airport_x000a_Apartment area: 156 square meters_x000a_3-bedrooms (master bedroom)_x000a_2-Bathroom_x000a_-Reception_x000a_-Terrace with a distinctive view_x000a_Distinctive payment systems:_x000a_-With a down payment of one million and installments up to 8 years_x000a_-Without down payment and without interest, in installments over 10 years._x000a_-20% down payment and the rest in installments over 6 years at a 20% discount._x000a_Services in Taj City New Cairo Compound:_x000a_- Strategic location, access to 90th Street in the assembly in 6 minutes._x000a_- Cairo Airport is 10 minutes away._x000a_-An integrated security system that guarantees 24-hour security and the presence of surveillance cameras everywhere._x000a_- Sports fields equipped with the latest equipment to play various games for adults and children._x000a_-Commercial centers and malls featuring the most famous international and local brands for an enjoyable shopping experience._x000a_-The landscape is spread everywhere, as green spaces occupy a large percentage of the compoundâ€™s area._x000a_- International schools at all educational levels._x000a_-Origami has a commercial area of â€‹â€‹200 acres."/>
    <s v="Taj City, 5th Settlement Compounds, The 5th Settlement, New Cairo City, Cairo"/>
    <x v="2"/>
    <s v="140 sqm"/>
    <x v="3"/>
    <x v="2"/>
    <d v="2025-07-16T00:00:00"/>
    <s v="Cash"/>
    <n v="9"/>
    <s v="1,000,000 EGP"/>
  </r>
  <r>
    <n v="7000000"/>
    <s v="With down payment 1,200,000 only own your Fully Finished Chalet with Private Garden at Hacienda Blue in Al Dabaa by Palm Hills Developments......._x000a_Chalet 116 sqm_x000a_3 Bedrooms-3 Bathrooms-Private Garden_x000a_Very Prime Location_x000a_With Down payment 5% and the rest over 10 years...._x000a_*Hacienda Blue North Coast Location_x000a_-Hacienda Blue by Palm Hills has an ideal location on the 165th kilo of Alexandria - Matrouh Road in Ras El Hekma, North Coast. This prime location is across from Al Dabaa Road and puts you in close proximity to various other high-end destinations._x000a_-In fact, Hacienda Blue North Coast is only 28 kilos from Alamein Airport and a short drive away from:_x000a_-South Med_x000a_-D Bay_x000a_-D.O.S.E_x000a_-Seazen Nort Coast_x000a_-La Vista Bay East_x000a_For more details please contact us....."/>
    <s v="Hacienda White, Sidi Abdel Rahman, North Coast"/>
    <x v="0"/>
    <s v="116 sqm"/>
    <x v="3"/>
    <x v="5"/>
    <d v="2025-07-16T00:00:00"/>
    <s v="Installments"/>
    <n v="-4"/>
    <m/>
  </r>
  <r>
    <n v="3000000"/>
    <s v="wn your unit in the heart of Sheikh Zayed_x000a_With payment facilities over 10 years_x000a_Ivory Compound_x000a_Lowest down payment and longest repayment period_x000a_There are additional installments_x000a_Unit Details:_x000a_Area: 164 sqm_x000a_3 bedrooms, 2 bathrooms_x000a_3-piece reception_x000a_Location:_x000a_The compound enjoys a prime location in the heart of Sheikh Zayed,_x000a_Close to 26th of July Axis_x000a_Near Itaba Compound_x000a_Close to the Cairo-Alexandria Desert Road_x000a_Amenities:_x000a_Green spaces_x000a_Water features_x000a_Swimming pools_x000a_Childrenâ€™s play areas_x000a_BBQ and relaxation areas_x000a_Commercial mall_x000a_Clubhouse_x000a_Private garage"/>
    <s v="Ivoire, Sheikh Zayed City, Giza"/>
    <x v="2"/>
    <s v="159 sqm"/>
    <x v="3"/>
    <x v="2"/>
    <d v="2025-08-10T00:00:00"/>
    <s v="Installments"/>
    <n v="-4"/>
    <m/>
  </r>
  <r>
    <n v="2900000"/>
    <s v="Hot Deal Studio for Sale in Noor City â€“ Talaat Moustafa Group_x000a_Area: 67 sqm_x000a_Reservation Date: September 2023_x000a_Floor: Typical_x000a_Location: Very close to all services_x000a_Total Contract Value: EGP 2,900,000_x000a_Payment Plan: Installments over 13 years_x000a_Monthly Installment: EGP 7,685 only_x000a_Annual Lump-Sum Installment: One payment in October each year_x000a_Paid Amount: Around EGP 400,000_x000a_Premium (Over Price): EGP 650,000_x000a_An excellent opportunity for investment or living in Egyptâ€™s first fully integrated smart city._x000a_For inquiries: 01125555840"/>
    <s v="Noor City, Cairo"/>
    <x v="2"/>
    <s v=" 67 sqm"/>
    <x v="6"/>
    <x v="0"/>
    <d v="2025-08-11T00:00:00"/>
    <s v="Installments"/>
    <n v="9"/>
    <s v="1,100,000 EGP"/>
  </r>
  <r>
    <n v="6200000"/>
    <s v="For sale chalet in D- Bay North Coast_x000a_D-Bay | Tatweer Misr_x000a_- Prime location , lagoon view_x000a_- Area 100 sqm + 122 sqm_x000a_2 bedrooms - 2 bathrooms_x000a_- Delivery 2026_x000a_- Fully finished_x000a_- down payment:  6,200,000 EGP_x000a_- Remaining installments: 2,258,000 until 2029_x000a_D Bay North Coast Location_x000a_The DBay village is on the 165th kilo of Alexandria - Marsa Matrouh Desert Road, easily accessible through many other roads like the Dabaa Road and the Fouka Road. Only 15 minutes away from Sidi Abdelrahman, D Bay North Coast location is in close proximity to various popular destinations. Including Telal, Hacienda, La Vista Bay, Marassi and Fouka Bay._x000a_About D-Bay_x000a_Unique Selling Points of D-Bay North Coast_x000a_Leveling_x000a_D Bay took advantage of the natural topography of the area and placed its properties on different levels, giving them all a mesmerizing view of the sea, the lagoons and the green landscapes._x000a_Lagoons_x000a_The coastal village features a number of swimmable lagoons, placed in every level. To give all residents a picturesque view and an easy access to a quick dip in the water._x000a_Angular Architecture_x000a_The properties in D Bay North Coast have a unique exterior design with angular architecture. This allows the properties to have the maximum amount of fresh air and sunlight in._x000a_About D Bay North Coast_x000a_D Bay is a coastal village spread across 200 acres of land in the North Coast. Developed by the real estate leader, Tatweer Misr, D-Bay North Coast is where aesthetics and culture intersect with functionality and convenience._x000a_On a mission to reshape your summer vacation, D Bay has an 800 meter beachfront, various swimmable lagoons and a wide array of world-class amenities."/>
    <s v="D-Bay, Qesm Ad Dabaah, North Coast"/>
    <x v="0"/>
    <s v="100 sqm"/>
    <x v="2"/>
    <x v="2"/>
    <d v="2025-08-26T00:00:00"/>
    <s v="Cash"/>
    <n v="-4"/>
    <m/>
  </r>
  <r>
    <n v="4500000"/>
    <s v="Spacious 175mآ² Apartment with Flexible Payment Plan!_x000a_BUA: 175 sqm_x000a_Bedrooms: 3 (including master with en-suite)_x000a_Bathrooms: 3 (including guest toilet)_x000a_Reception: 8.80 أ— 3.80_x000a_Kitchen: 3.00 أ— 2.85_x000a_3 Terraces with open views_x000a_Condition: Super Lux Finished_x000a_Total Price: 4,500,000 EGP_x000a_Remaining Balance: 2,300,000 EGP_x000a_Installment Plan: 5 Years_x000a_Quarterly Installment: 98,250 EGP_x000a_Perfect layout for families_x000a_Located in a prime residential compound_x000a_Great for both living &amp; investment_x000a_Secure this opportunity now before prices go up!_x000a_Contact us for viewing or more info."/>
    <s v="The Icon Residence, 5th Settlement Compounds, The 5th Settlement, New Cairo City, Cairo"/>
    <x v="2"/>
    <s v="175 sqm"/>
    <x v="3"/>
    <x v="5"/>
    <d v="2025-08-31T00:00:00"/>
    <s v="Cash"/>
    <n v="-4"/>
    <m/>
  </r>
  <r>
    <n v="16400000"/>
    <s v="Arabia Developments provided the modern lifestyle and all the elements of modern life that residents dream of, so they chose the location of the compound in strategic place in Sheikh Zayed._x000a_Town House For Sale In Elora Compound :_x000a_214 meters_x000a_3 rooms_x000a_3 bathrooms_x000a_Reception_x000a_Kitchen_x000a_Terrace_x000a_Garden_x000a_Roof_x000a_nanny room_x000a_5% down payment, installments up to 9 years_x000a_For reservations and inquiries, contact us on WhatsApp or call: 01008506942_x000a_-----------------------------------------------------------------_x000a_location:_x000a_- 3 minutes from Sphinx Airport._x000a_- 5 minutes from Waslt Dahshour._x000a_- 15 minutes from Mall of Arabia._x000a_-----------------------------------------------------------------_x000a_The project area is 227 acres_x000a_Commercial and administrative area: 34 acres_x000a_Construction rate 18%_x000a_The percentage of green spaces is 82%_x000a__________________________________________________________________x000a_Elora Compound Services:_x000a_- Green spaces_x000a_- Health club_x000a_- A commercial area on an area of â€‹â€‹34 acres_x000a_- Security guard 24 hours_x000a_- Places designated for children_x000a_- swimming pool_x000a_- security cameras_x000a_- Track for running_x000a_- Private garages_x000a_- Electronic portals_x000a_- Regular maintenance team"/>
    <s v="Elora, New Zayed City, Sheikh Zayed City, Giza"/>
    <x v="7"/>
    <s v="214 sqm"/>
    <x v="3"/>
    <x v="5"/>
    <d v="2025-09-02T00:00:00"/>
    <s v="Cash"/>
    <n v="7"/>
    <s v="820,000 EGP"/>
  </r>
  <r>
    <n v="25650000"/>
    <s v="town house for sale in North Coast - Mountain View RAS EL HEKMA_x000a_BUA : 125 sqm_x000a_land: 170 sqm_x000a_Fully Finished_x000a_sale price : 25.650.000 EGP_x000a_down payment : 3.200.000 EGP_x000a_installment 7 years_x000a_Contains of : 3 Bedrooms + 4 Bathrooms-living_x000a_delivery :2027_x000a_=========================_x000a_Strategic Location of the Mountain View Ras El Hikma Project_x000a_Mountain View has the most beautiful views of the northern coast in the Ras El Hikma region, at 200 kilometers, which is a wonderful sea bay that enjoys the most beautiful sandy beaches and enjoyable water activities on its clear blue waters such as swimming, snorkeling and water games._x000a_Ras El-Hikma area is a privileged location for easy access from it to Alexandria, Cairo and Marsa Matrouh, as a result of its connection to several major roads such as the Cairo-Alexandria Road, Wadi El-Natrun Road, El-Dabaa Road, and the new Fouka Road - one of the main roads - to the North Coast._x000a_Mountain View Compound is close to the Sidi Abdel Rahman area, which makes it 50 km away from El Alamein Airport, 90 kilometers from Row Marina Village, and 3 hours from Greater Cairo and Burj Al Arab Airport._x000a_========================_x000a_Properties for sale in Mountain View_x000a_Villas for sale in Mountain View_x000a_Townhouses for sale in Mountain View_x000a_Penthouses for sale in Mountain View_x000a_Duplexes for sale in Mountain View"/>
    <s v="Mountain View, Ras Al Hekma, North Coast"/>
    <x v="7"/>
    <s v="170 sqm"/>
    <x v="3"/>
    <x v="5"/>
    <d v="2025-08-18T00:00:00"/>
    <s v="Cash"/>
    <n v="-4"/>
    <m/>
  </r>
  <r>
    <n v="43000000"/>
    <s v="June_x000a_Own Your Chalet With Garden with only 5% DP !!!!!!_x000a_---------------------------------------------------------------------------_x000a_Unit Details_x000a_2 bedrooms_x000a_2 bathrooms_x000a_terrace_x000a_reception_x000a_--------------------------------------------------------------------------_x000a_June is a gated coastal town in Ras El Hekma brought to you by SODIC, one of Egypt's top real estate developers. June is located 192 kilometres from Alexandria on a 300 acre plot with 650 metre beach front. It includes a whopping 25 acres of swimming pools and lagoons as well as a 4 acre clubhouse."/>
    <s v="June, Ras Al Hekma, North Coast"/>
    <x v="1"/>
    <s v="250 sqm"/>
    <x v="3"/>
    <x v="1"/>
    <d v="2025-09-02T00:00:00"/>
    <s v="Installments"/>
    <n v="1"/>
    <s v="5 EGP"/>
  </r>
  <r>
    <n v="27315000"/>
    <s v="Nour - TMG_x000a_Town house corner_x000a_Semi finished_x000a_Without over price_x000a_Prime location_x000a_Open landscape view_x000a_3 bedrooms_x000a_3 bathrooms_x000a_BUA 207 sqm_x000a_Land 325 sqm_x000a_Total price 27.315.000_x000a_Down payment 3.500.000_x000a_About Noor Capital Gardens_x000a_Noor Capital Gardens is the first integrated smart city in the New Administrative Capital by Talaat Moustafa Group (TMG)._x000a_The Noor Capital Gardens Compound is not only an upscale residential community with a wide variety of opulent properties, rather, Noor TMG sets a model for top-notch smart cities worldwide._x000a_Noor Compound is considered one of the first smart cities that preserves sustainability and eco-friendly means in the New Capital City."/>
    <s v="Noor City, Cairo"/>
    <x v="7"/>
    <s v="207 sqm"/>
    <x v="3"/>
    <x v="5"/>
    <d v="2025-09-02T00:00:00"/>
    <s v="Cash"/>
    <n v="9"/>
    <s v="3,500,000 EGP"/>
  </r>
  <r>
    <n v="12000000"/>
    <s v="Chalet for Sale with Full Sea View in a Prime Location â€“ Hacienda Heneish by Palm Hills_x000a_Developer: Palm Hills Developments_x000a_Unit Type: Chalet_x000a_---_x000a_Unit Details:_x000a_* 2 Bedrooms + Nannyâ€™s Room with En-suite Bathroom_x000a_* 2 Bathrooms_x000a_* Spacious Reception and Family Living Area_x000a_* Fully Finished with Air Conditioners and Kitchen Cabinets_x000a_* Panoramic Views of Lagoon and Green Landscapes_x000a_* Full Sea View_x000a_* Bahary Orientation (North Facing)_x000a_* Prime Location Within the Project_x000a_---_x000a_**For More Information, Please Call:**_x000a_01202738533_x000a_---_x000a_### **About Hacienda Heneish â€“ North Coast**_x000a_Hacienda Heneish is a premium resort developed by Palm Hills on the North Coast, located at kilometer 247 on the Alexandriaâ€“Marsa Matrouh Road, just a short drive from Marsa Matrouh Airport._x000a_The project spans 420 acres and offers a peaceful, upscale beachside experience. The resort features a wide variety of luxury units with diverse designs and price ranges, as well as a wide range of services and amenities for residents._x000a_---_x000a_### **Master Plan Highlights:**_x000a_* 420 Acres of Master-Planned Space_x000a_* Extensive Landscapes, Greenery, and Water Features_x000a_* Private Beach_x000a_* Glistening Lagoons and Swimming Pools_x000a_* Family-Friendly Environment_x000a_* Limited Built-Up Area to Maximize Open Space and Privacy_x000a_---_x000a_This is an ideal opportunity for buyers seeking a luxurious summer retreat or a smart investment in one of the North Coastâ€™s most prestigious developments._x000a_**#PalmHills #HaciendaHeneish #NorthCoast #ChaletForSale #SeaView**_x000a_--"/>
    <s v="Hacienda Heneish, Qesm Marsa Matrouh, North Coast"/>
    <x v="0"/>
    <s v="110 sqm"/>
    <x v="2"/>
    <x v="2"/>
    <d v="2025-09-01T00:00:00"/>
    <s v="Cash"/>
    <n v="7"/>
    <s v="600,000 EGP"/>
  </r>
  <r>
    <n v="15689250"/>
    <s v="Lake View2 - El Hazek_x000a_Apartment For Sale With Installments_x000a_BUA : 181 M_x000a_3 Bedrooms_x000a_3 Bathrooms_x000a_Maids Room_x000a_Core &amp; Shell_x000a_Delivery 2026_x000a_Down Payment : 5,241,650_x000a_Total Price : 15,689,250_x000a_Including Maintenance &amp; Parking_x000a_About Insider_x000a_With our unique contemporary style and total passion for connecting people with property , we aspire to provide the ultimate real estate experience for todayâ€™s modern consumer. We are not confined by traditional real estate boundaries when it comes to buying, selling, renting or asset management, instead we are always finding new and innovative ways to satisfy our clientsâ€™ needs and be at the forefront of the Egyptian property market._x000a_Insider is one of the most real estate agencies_x000a_Based on our years of market experience, we are able to provide you with information._x000a_Our Core Values are The Foundation of Our Business and Divisions_x000a_â€¢ Provide Quality of Service_x000a_â€¢ Building Confidence With Loss is a Milestone in The End."/>
    <s v="Lake View Residence 2, 5th Settlement Compounds, The 5th Settlement, New Cairo City, Cairo"/>
    <x v="2"/>
    <s v="181 sqm"/>
    <x v="3"/>
    <x v="5"/>
    <d v="2025-08-04T00:00:00"/>
    <s v="Installments"/>
    <n v="9"/>
    <s v="5,241,650 EGP"/>
  </r>
  <r>
    <n v="8000000"/>
    <s v="Chalet Prime Location Exclusive in Shamasi_x000a_Area:130, directly on the View from two sides_x000a_Prime location in the heart of North Coast , minutes from Allamein Airport and Ras el Hekma City_x000a_Consists of: 3 bedrooms -3 bathrooms_x000a_For viewing and visiting the compound, call now: 01145402513_x000a_F.F-4227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_x000a_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_x000a_Great attention is given to infrastructure and services within the compounds, including advanced electricity and water networks, expansive green spaces, and recreational facilities. Developers a"/>
    <s v="Shamasy, Sidi Abdel Rahman, North Coast"/>
    <x v="0"/>
    <s v="130 sqm"/>
    <x v="3"/>
    <x v="5"/>
    <d v="2025-09-02T00:00:00"/>
    <s v="Installments"/>
    <n v="-4"/>
    <m/>
  </r>
  <r>
    <n v="6549828"/>
    <s v="ط´ظ‚ط©  ط§ط±ط¶ظٹ ط¨ط¬ط§ط±ط¯ظ†   ظ„ظ„ط¨ظٹط¹ ط§ط³طھظ„ط§ظ… ظپظˆط±ظٹ ظ…طھط´ط·ط¨ظ‡ ط¬ط§ظ‡ط²ظ‡ ظ„ظ„طھط³ظ„ظٹظ…  ظپظٹ ط§ظ„ط¹ط§طµظ…ظ‡ ط§ظ„ط¥ط¯ط§ط±ظٹط© R8 ظˆط§ظ‚ط³ط§ط· ط¹ظ„ظٹ ط§ط·ظˆظ„ ظپطھط±ظ‡ ط³ط¯ط§ط¯_x000a_*ظ…ظˆظ‚ط¹ ظ…ط«ط§ظ„ظٹ:*_x000a_*طھظپط§طµظٹظ„ ط§ظ„ظˆط­ط¯ط©:*_x000a_- *ط§ظ„ظ…ط³ط§ط­ط©:*_x000a_- 120 +35 ط¬ط§ط±ط¯ظ†_x000a_-_x000a_2ط؛ط±ظپ_x000a_2 ط­ظ…ط§ظ…_x000a_ظ…ط·ط¨ط®_x000a_ط±ظٹط³ط¨ط´ظٹظ†_x000a_- **ط­ط§ظ„ط© ط§ظ„طھط´ط·ظٹط¨ ::_x000a_-_x000a__* ظ…طھط´ط·ط¨ظ‡_x000a__ *طŒط§ظ„ط¯ظˆط±*_x000a_- ط§ط±ط¶ظٹ_x000a__ظ…ط¨ط§ظ†ظٹ ط­ط¯ظٹط«ظ‡_x000a_ط§ط³طھظ„ط§ظ…_x000a_ظپظˆط±ظٹ_x000a_طھظپط§طµظٹظ„ ط§ظ„ط¯ظپط¹_x000a_ط§ظ„ط³ط¹ط±:- 6.549.828_x000a_ظ…ظ‚ط¯ظ… 10ظھ_x000a_654.983_x000a_ظˆط§ظ„ط¨ط§ظ‚ظٹ ط¹ 6 ط³ظ†ظˆط§طھ_x000a_ظˆظ…طھط§ط­ ط§ظ‚ط³ط§ط· ظ„ط­ط¯ 6 ط³ظ†ظ‡_x000a_ظˆظٹظˆط¬ط¯ ظ„ط¯ظٹظ†ط§ ظˆط­ط¯ط§طھ ط§ط®ط±ظٹ_x000a_ظˆظ‡ظˆ ط¹ط±ط¶ طھظ†ط§ظپط³ظٹ ظپظٹ ط§ظ„ط³ظˆظ‚ ط§ظ„ط¹ظ‚ط§ط±ظٹ_x000a_*ظƒظˆط¯ ط§ظ„ظˆط­ط¯ط© :_x000a_ظ„ط§ طھظپظˆطھ ظ‡ط°ظ‡ ط§ظ„ظپط±طµط© ط§ظ„ط°ظ‡ط¨ظٹط©!طھظˆط§طµظ„ ظ…ط¹ظ†ط§ ط§ظ„ظٹظˆظ… ظ„طھط±طھظٹط¨ ط²ظٹط§ط±ط© ط£ظˆ ظ„ظ…ط²ظٹط¯ ظ…ظ† ط§ظ„ظ…ط¹ظ„ظˆظ…ط§طھ_x000a___________x000a_طھظˆط§طµظ„ ظ…ط¹ط§ظ†ط§ط§_x000a_ط§ظ„ظˆظƒظٹظ„ ط§ظ„ط¹ظ‚ط§ط±ظٹ : ط§ظ…ظٹط±ظ‡ ط§ظ„ظ†ط¬ط§ط±_x000a_ظˆط§طھط³ط§ط¨ :01062309555_x000a_ظ…ظ‚ط± ط§ظ„ط´ط±ظƒط© م€ٹ ط§ظ„ط¹ط§طµظ…ط© ط§ظ„ط¥ط¯ط§ط±ظٹط© ط§ظ„ط¬ط¯ظٹط¯ط© _ظ…ظˆظ„ ط¬ط±ط§ظ†ط¯ ط³ظƒظˆظٹط± م€‹_x000a_**ظٹظˆط¬ط¯ ظ„ط¯ظٹظ†ط§ ظپط±ظˆط¹ ط§ط®ط±ظٹ ظپظٹ ط¬ظ…ظٹط¹  ط£ظ†ط­ط§ط، ط§ظ„ط¬ظ…ظ‡ظˆظٹط©"/>
    <s v="Ramatan, New Capital Compounds, New Capital City, Cairo"/>
    <x v="2"/>
    <s v="120 sqm"/>
    <x v="2"/>
    <x v="2"/>
    <d v="2025-08-21T00:00:00"/>
    <s v="Cash"/>
    <n v="7"/>
    <s v="654,983 EGP"/>
  </r>
  <r>
    <n v="3123009"/>
    <s v="atlantis â€“ where your story of endless luxury begins_x000a_if you dream of a lifestyle that blends a prime location. contemporary design. and complete amenities. atlantis is your perfect destination for luxury living and smart investment._x000a_unmatched strategic location:_x000a_nestled in the heart of hurghada. right next to al dau heights and steps away from the tourist promenade. the marina. and senzo mall â€“ everything you need is right at your doorstep._x000a_project highlights:_x000a_elegant architecture with super deluxe finishing_x000a_a variety of swimming pools and landscaped green spaces for ultimate relaxation_x000a_24/7 security and state-of-the-art surveillance systems_x000a_upscale restaurants. cafأ©s. a supermarket. and a fully equipped gym within the compound_x000a_open views that continuously enhance your investment value_x000a_flexible payment options to suit your lifestyle:_x000a_phase 1: 15% down payment + up to 5 years installment â€“ delivery in 2026_x000a_phase 2: 15% down payment + up to 6 years installment â€“ delivery in 2027_x000a_whether youâ€™re looking for a sophisticated home or a secure investment with guaranteed returns. atlantis is your ideal choice for a complete lifestyle of distinction and added value._x000a_contact us today to reserve your unit and start living the life you deserve before the limited units sell out!"/>
    <s v="Al Dau Heights, Youssef Afifi Road, Hurghada, Red Sea"/>
    <x v="2"/>
    <s v=" 47 sqm"/>
    <x v="6"/>
    <x v="0"/>
    <d v="2025-07-10T00:00:00"/>
    <s v="Cash"/>
    <n v="7"/>
    <s v="468,451 EGP"/>
  </r>
  <r>
    <n v="28000000"/>
    <s v="Developer : Talaat Mostafa_x000a_Project : South Med_x000a_Destination : Al Da'baa_x000a_------------------------------_x000a_South Med_x000a_Direct on Marsa_x000a_3 Beds_x000a_156  Meters_x000a_Total price : 28M_x000a_Paid : 4M_x000a_Over : 2M_x000a_Typical Floor_x000a_12 Years Installments_x000a_----------------------------------_x000a_#Properties for sale in South Med_x000a_#2 bedroom Chalets for sale in South Med_x000a_#3 bedroom Chalets for sale in South Med_x000a_#Villas for sale in South Med_x000a_#1 bedroom Chalets for sale in South Med_x000a_#Apartments for sale in South Med_x000a_#Twin Houses for sale in South Med_x000a_#Penthouses for sale in South Med"/>
    <s v="South Med, Qesm Ad Dabaah, North Coast"/>
    <x v="0"/>
    <s v="156 sqm"/>
    <x v="3"/>
    <x v="2"/>
    <d v="2025-09-02T00:00:00"/>
    <s v="Cash"/>
    <n v="2"/>
    <s v="15 EGP"/>
  </r>
  <r>
    <n v="8000000"/>
    <s v="MOUNTAIN VIEW DEVELOPMENT_x000a_CRYSTA_x000a_NEW PROJECT IN SIDI ABD EL RAHMAN_x000a_LAUNCH PHASE ONE_x000a_ALL TYPES FULLY FINISHED_x000a_01201658296 FOR MORE INFO_x000a_UNIT DETALES : chalet_x000a_110 m_x000a_2 bedrooms_x000a_2 bathrooms_x000a_kitchen_x000a_reception_x000a_Kilo 120 Bay (Beach) Crysta town (commercial) 470 feddans 35 feddans swimmable lagoons 3 boutique Hotels Crysta walk (85 feddan) Nearest to the Beach Crysta islands (150 feddan) 5 islands Lagoons view Swimmable lagoons Pearl Town houses &amp; SA only Floating restaurant Swimmable lagoons"/>
    <s v="Plage, Sidi Abdel Rahman, North Coast"/>
    <x v="0"/>
    <s v="110 sqm"/>
    <x v="2"/>
    <x v="2"/>
    <d v="2025-09-02T00:00:00"/>
    <s v="Installments"/>
    <n v="7"/>
    <s v="400,000 EGP"/>
  </r>
  <r>
    <n v="10280000"/>
    <s v="Apartment for Sale in New Cairo_x000a_Unit Details:_x000a_Area: 78sqm_x000a_Bedrooms: 1_x000a_Bathrooms: 2_x000a_Reception / Kitchen / Terrace_x000a_roof:23sqm_x000a_Location: Hyde Park, New Cairo_x000a_Contact: 01200070052_x000a_About the Project:_x000a_Hyde Park New Cairo is a fully integrated residential project developed by Hyde Park Developments. Spanning over 6 million square meters, the compound features a diverse range of world-class residential units, surrounded by endless green landscapes and scenic lakes._x000a_Strategic Location:_x000a_The compound is carefully located in the heart of the vibrant Fifth Settlement in New Cairo, near the vital 90 Street, the Ring Road, and just a few kilometers from the American University in Cairo. It is only 20 minutes from Cairo International Airport and close to the New Administrative Capital._x000a_Key Features:_x000a_Central Park:_x000a_A standout feature is the 600,000 sqm central parkâ€”one of the largest in New Cairoâ€”offering a healthy, green environment with scenic walking and jogging paths._x000a_Business District:_x000a_Hyde Park includes a prestigious commercial area set to become the cityâ€™s main business hub._x000a_Retail Zone:_x000a_A massive 130,000 sqm shopping area with over 1,000 sqm of retail space for major brands and versatile stores._x000a_Sports Club:_x000a_A large sports club spread across 168,000 sqm, offering a variety of athletic and recreational facilities for both children and adults, including courts for all sports."/>
    <s v="Hyde Park, 5th Settlement Compounds, The 5th Settlement, New Cairo City, Cairo"/>
    <x v="2"/>
    <s v=" 78 sqm"/>
    <x v="0"/>
    <x v="2"/>
    <d v="2025-08-31T00:00:00"/>
    <s v="Installments"/>
    <n v="1"/>
    <s v="5 EGP"/>
  </r>
  <r>
    <n v="23000000"/>
    <s v="RAMLA BY MARAKEZ_x000a___________________________________________________________________________________________________________x000a_Own Your Finished Villa With Sea View And 39% Discount On Cash_x000a___________________________________________________________________________________________________________x000a_UNIE DETAILS:_x000a_BUA 400 SQM_x000a_3 BEDROOMS_x000a_4 BATHROOMS_x000a_SEA VIEW_x000a_FULLY FINISHED_x000a_LAGOONVIEW_x000a_BEACHES_x000a_WATER SPORTS_x000a_PRIME LOCATION_x000a___________________________________________________________________________________________________________x000a_FOR MORE INFORMATION: 01225568934_x000a_FOR MORE INFO: 01225568934_x000a________________________________________________________________________________________________________x000a_Marakez developed the Ramla North Coast Resort in Ras El Hekma, Egypt, specifically on the 215th km of Alexandria - Marsa Matrouh Road (International Coastal Road). Established to be a place where everyone can celebrate life, Ramla El Sahel offers a simple yet soulful experience._x000a_The developer implemented a broad array of amenities in the Ramla North Coast Project, from a wide beachfront with a myriad of activities to crafting a natural paradise where vacationers get to unwind, relax, and enjoy a great outdoor experience."/>
    <s v="Ramla Lakeside, Qesm Ad Dabaah, North Coast"/>
    <x v="4"/>
    <s v="400 sqm"/>
    <x v="1"/>
    <x v="1"/>
    <d v="2025-09-02T00:00:00"/>
    <s v="Cash"/>
    <n v="7"/>
    <s v="100,000 EGP"/>
  </r>
  <r>
    <n v="11685000"/>
    <s v="Ground Corner apartment with Garden_x000a_Ivoire East_x000a_BUA: 126 mآ²_x000a_Garden: 80 mآ²_x000a_2 Bedrooms_x000a_3 Bathrooms_x000a_Delivery 2028_x000a_Down Payment: 2,435,000 EGP_x000a_Total price: 11,685,000 EGP_x000a_About New Avenue:_x000a_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_x000a_Given our individual experiences in the top real estate companies in Egypt &amp; abroad, we have reached the conclusion that trust is primary factor we should be offering you when it comes to buying, renting or submitting your property for sale or rent._x000a_New Avenue is aiming to provide our customer with almost all the needs that you would need Residential or Commercial. New Avenue offers offices and Retails that are available in almost every district in Egypt like New Cairo, Heliopolis, Nasr City, 6th of October."/>
    <s v="Ivoire East, 5th Settlement Compounds, The 5th Settlement, New Cairo City, Cairo"/>
    <x v="2"/>
    <s v="126 sqm"/>
    <x v="2"/>
    <x v="5"/>
    <d v="2025-09-02T00:00:00"/>
    <s v="Cash"/>
    <n v="9"/>
    <s v="2,435,000 EGP"/>
  </r>
  <r>
    <n v="13273408"/>
    <s v="Fully Finished Apartment in Swan Lake Residences â€“ Hassan Allam_x000a_Location: Swan Lake Residences, First Settlement â€“ New Cairo, near El Yasmeen and El Banafseg neighborhoods_x000a_Developer: Hassan Allam_x000a_Phase: Phoenix_x000a_Unit Type: Apartment â€“ First Floor_x000a_Built-Up Area: 93 sqm_x000a_Layout:_x000a_1 Bedroom + Study Room_x000a_1 Bathroom_x000a_Finishing: Fully Finished_x000a_Delivery Date: 2027_x000a_For more details or to schedule a viewing, please contact:_x000a_00201202048220_x000a_Key Features &amp; Services at Swan Lake Residences â€“ Hassan Allam:_x000a_Swan Lake Residences offers a premium living experience in New Cairo with outstanding services and facilities, including:_x000a_Private underground parking for each residential building_x000a_Safe and engaging play areas for children_x000a_Dedicated pedestrian and cycling lanes, fully separated from vehicle roads_x000a_A large social club featuring multiple sports courts and recreational activities_x000a_A fully equipped medical center with various specialties and state-of-the-art equipment_x000a_Covered swimming pools exclusively for women, ensuring privacy and comfort_x000a_Beautiful artificial lakes, fountains, and wide water features integrated with green landscapes for a calming atmosphere_x000a_Advanced 24/7 security systems with the latest surveillance technology"/>
    <s v="Swan Lake Residence, 5th Settlement Compounds, The 5th Settlement, New Cairo City, Cairo"/>
    <x v="2"/>
    <s v=" 93 sqm"/>
    <x v="0"/>
    <x v="0"/>
    <d v="2025-09-01T00:00:00"/>
    <s v="Installments"/>
    <n v="7"/>
    <s v="663,670 EGP"/>
  </r>
  <r>
    <n v="16300000"/>
    <s v=".                                             MARSA BAGHUSH_x000a_CHALET DETAILS:_x000a_BUA 155 SQM_x000a_3 BEDROOM_x000a_3 BATHROOM_x000a_FULLY FINISHED_x000a_SEA VIEW_x000a_PRIME LOCATION_x000a_HOTELS_x000a______________________________________________________________x000a_FOR MORE INFORMATIONS : 01202050322_x000a_FOR MORE INFORMATIONS : 01202050322_x000a______________________________________________________________x000a_These elegant units are right on the shores of the coast offering a limited number of separate villas with features catering to your leisure. A unique raw design that features a horizon infinity pool that merges with the sea as well as a garden level. It is the first three rows of Marsa Baghush although our largest and front facing units, a clever design ensures privacy is absolutely maintain                                                                                                                                                                                                                                                                                                                                                                                                                                                            ."/>
    <s v="Marsa Baghush, Qesm Marsa Matrouh, North Coast"/>
    <x v="0"/>
    <s v="155 sqm"/>
    <x v="3"/>
    <x v="5"/>
    <d v="2025-08-30T00:00:00"/>
    <s v="Cash"/>
    <n v="7"/>
    <s v="100,000 EGP"/>
  </r>
  <r>
    <n v="977648"/>
    <s v="â€œط¯ظ„ظˆظ‚طھظٹ ظپط±طµطھظƒ طھظ…طھظ„ظƒ ط´ظ‚طھظƒ ظپظٹ ظ‚ظ„ط¨ ط§ظ„ظ…ط¹ط§ط¯ظٹ ط¹ظ„ظ‰ ط§ظ„ط¯ط§ط¦ط±ظٹ ظ…ط¨ط§ط´ط±ط© ظپظٹ ط¨ط§ظپط§ط±ظٹط§ طھط§ظˆظ† â€“ ظ…ط¹ظ…ط§ط± ط§ظ„ظ…ط±ط´ط¯ظٹ._x000a_ط¨ظ…ظ‚ط¯ظ… ظٹط¨ط¯ط£ ظ…ظ† 15% ظپظ‚ط·طŒ ظˆ10% ظˆط¯ظٹط¹ط© طµظٹط§ظ†ط©طŒ ظˆط§ظ„ط¨ط§ظ‚ظٹ ط¹ظ„ظ‰ ط£ظ‚ط³ط§ط· ظ…ط±ظٹط­ط© طھطµظ„ ظ„ظ€ 6 ط³ظ†ظˆط§طھ._x000a_ط§ط³طھط«ظ…ط± ظپظٹ ظ…ظˆظ‚ط¹ ط§ط³طھط±ط§طھظٹط¬ظٹ ظˆط®ط¯ظ…ط§طھ ظ…طھظƒط§ظ…ظ„ط©طŒ ظ…ط¹ طھطµظ…ظٹظ…ط§طھ ط¹طµط±ظٹط© ظˆظ…ط³ط§ط­ط§طھ طھظ†ط§ط³ط¨ ظƒظ„ ط§ظ„ط§ط­طھظٹط§ط¬ط§طھ._x000a_ط§ط®طھط§ط± ط±ط§ط­طھظƒâ€¦ ظˆط§ط®طھط§ط± ظ…ط³طھظ‚ط¨ظ„ظƒ ظپظٹ ط¨ط§ظپط§ط±ظٹط§ طھط§ظˆظ†.â€‌_x000a_.."/>
    <s v="Bavaria Town, Zahraa El Maadi, Hay El Maadi, Cairo"/>
    <x v="2"/>
    <s v=" 55 sqm"/>
    <x v="6"/>
    <x v="0"/>
    <d v="2025-08-20T00:00:00"/>
    <s v="Installments"/>
    <n v="-4"/>
    <m/>
  </r>
  <r>
    <n v="3157000"/>
    <s v="&quot;Studio Apartment | Al Mamsha Hurghada_x000a_Modern Studio Apartment â€“ 1st Avenue South Side, Al Mamsha â€“ Hurghada_x000a_Own a stylish studio at the heart of Hurghadaâ€™s most vibrant promenade â€“ Al Mamsha South Side. Perfect as a holiday home or investment, this unit combines convenience, comfort, and an unbeatable location._x000a_Unit Features:_x000a_Cozy studio layout_x000a_One bathroom with modern finishing_x000a_Open-plan kitchen with contemporary design_x000a_Payment Options:_x000a_Flexible installment plan with 35% down payment_x000a_Attractive cash offer available_x000a_Project Highlights:_x000a_Developed by AKA Group, a trusted name in Red Sea developments_x000a_Full property management services after sale &amp; delivery, including maintenance and rental support_x000a_Exclusive beach membership (annual subscription per person; number of subscribers based on unit type)_x000a_Secure gated community with landscaped areas and lifestyle facilities_x000a_Prime Location:_x000a_Situated directly on Al Mamsha South Side, Hurghadaâ€™s famous pedestrian promenade_x000a_Close to major hotels, shopping centers, and malls_x000a_Near Airport Road and Hurghada International Airport_x000a_Walking distance to restaurants, cafأ©s, and entertainment hubs_x000a_A smart choice for holidaymakers and investors looking for high rental demand in Hurghadaâ€™s most dynamic district._x000a_Contact us today to book your studio at 1st Avenue South Side â€“ Al Mamsha, Hurghada.&quot;"/>
    <s v="1st Avenue South side, Hurghada Resorts, Hurghada, Red Sea"/>
    <x v="2"/>
    <s v=" 70 sqm"/>
    <x v="6"/>
    <x v="0"/>
    <d v="2025-08-28T00:00:00"/>
    <s v="Cash"/>
    <n v="9"/>
    <s v="1,104,950 EGP"/>
  </r>
  <r>
    <n v="950000"/>
    <s v="first installment after 1y receive yours from soma bay_x000a_Unit details:_x000a_3 bedrooms_x000a_3 bathrooms_x000a_kitchen_x000a_Reception_x000a_terrace_x000a_________________________________________________________________________________________________________________________________x000a_Location of Bay West Soma bay in Hurghada_x000a_Baywest Resort is located on the west coast of Soma Bay in Hurghada and is adjacent to a large group of tourist resorts and luxury hotels, including Kempinski Hotel Soma Bay, Sheraton Soma Bay, The Breakers Dive Center, The Westin Golf &amp; Spa Soma Bay and White Beach and international golf courses._x000a_Baywest Resort's location is close to service areas and entertainment venues such as Soma Bay Marina, which includes various restaurants and cafes, countless shops, diving centers, a charming sandy beach and many marine activities._x000a_Services Available in Baywest Resort in Hurghada_x000a_Security and guard services and the presence of security personnel around the clock._x000a_Car garages._x000a_Regular resort cleaning services and housekeeping on demand Housekeeping_x000a_Periodic maintenance services within the resort._x000a_Various swimming pools spread throughout the resort._x000a_medical services._x000a_Transfer services to and from the airport in a limousine._x000a_Privacy within the resort and being in an upscale and closed community._x000a_Units are delivered with full finishing and ACs._x000a_Charming private sandy beach of the Red Sea._x000a_Restaurants and cafes open 24 hours a day in Marina Soma Bay, including oriental, Italian and western dishes._x000a_Diving center in Soma Bay and various marine activities such as water skiing, windsurfing, snorkeling and watching the enchanting coral reefs._x000a_Real Estate for Sale in Soma Bay_x000a_Chalets for Sale in Soma Bay_x000a_Houses and Villas for Sale in Soma Bay_x000a_Penthouses for Sale in Soma Bay_x000a_2-Bedroom Apartments for Sale in Soma Bay_x000a_Duplexes for Sale in Soma Bay_x000a_1-Bedroom Apartments for Sale in Soma Bay_x000a_3-Bedroom Apartments for Sale in Soma Bay_x000a_Furnished Apartments for Sale in Soma Bay"/>
    <s v="ARC of Soma, Soma Bay, Safaga, Hurghada, Red Sea"/>
    <x v="1"/>
    <s v="140 sqm"/>
    <x v="3"/>
    <x v="5"/>
    <d v="2025-08-10T00:00:00"/>
    <s v="Cash"/>
    <n v="-4"/>
    <m/>
  </r>
  <r>
    <n v="30000000"/>
    <s v="Twinhouse â€“ 3 Bedrooms â€“ Sea View_x000a_Fully Finished with ACs â€“ Private Garden â€“ Premium Coastal Living_x000a_Built-up Area: 185 sqm_x000a_Garden: 120 sqm_x000a_3 Bedrooms including a master suite_x000a_3 Bathrooms with modern finishes_x000a_Spacious open living and dining area_x000a_Fully finished with premium specifications_x000a_Equipped with air conditioners_x000a_Sea view location ensuring stunning daily scenery_x000a_Private garden for relaxation and outdoor activities_x000a_Flexible installment plan available_x000a_---_x000a_About the Unit:_x000a_This twinhouse is designed for those seeking an exceptional lifestyle by the sea. With a built-up area of 185 sqm and a spacious 120 sqm garden, it offers the perfect balance between indoor comfort and outdoor living. Fully finished with high-end materials and equipped with ACs, the home provides a turnkey solution for immediate comfort._x000a_Lifestyle &amp; Community:_x000a_Nestled in a prime coastal destination, the unit guarantees panoramic sea views that create a serene and refreshing ambiance. The community provides a unique mix of luxury, convenience, and natural beauty, making it an ideal retreat for families and vacation seekers alike._x000a_Facilities &amp; Amenities:_x000a_Direct access to the beach and waterfront promenades_x000a_Clubhouse with dining and leisure facilities_x000a_Swimming pools and wellness areas_x000a_Sports courts and fitness zones_x000a_Kidsâ€™ areas &amp; family-friendly spaces_x000a_24/7 gated security with professional property management_x000a_Proximity to main roads, city hubs, and lifestyle attractions_x000a_Investment Value:_x000a_Owning this twinhouse is more than just purchasing a home â€” it is securing a premium lifestyle and a strong investment. The sea view, prime location, and full finishing with ACs ensure high rental potential and excellent capital appreciation. With flexible payment plans, it offers both immediate comfort and long-term value."/>
    <s v="Azha North, Ras Al Hekma, North Coast"/>
    <x v="4"/>
    <s v="305 sqm"/>
    <x v="3"/>
    <x v="1"/>
    <d v="2025-08-31T00:00:00"/>
    <s v="Cash"/>
    <n v="-4"/>
    <m/>
  </r>
  <r>
    <n v="19000000"/>
    <s v="Developer: Orascom Development_x000a_Project: El gouna ( Kamaran )_x000a_Location: 5 minutes away from Abu Tig Marina, El Gouna. Close to Hurghada International Airport_x000a_----------_x000a_Unit type: Chalet 2 Bedroom &amp; 3 Bathroom - Prime Location Over Lagoon Direct_x000a_Financial Details: 15% Downpayment,over 5 years Instalments_x000a_----------_x000a_For more info kindly contact me: +201228831116_x000a_----------_x000a_**Kamaran El Gouna by Orascom Development Egypt**_x000a_Kamaran El Gouna is a high-end residential and vacation destination in El Gouna, blending natural tranquility with modern design. Catering to families and professionals, it offers a vibrant yet serene lifestyle with biophilic architecture, lush greenery, and communal spaces._x000a_**Key Features:**_x000a_- **Master Plan by EDSA**: Thoughtful design promoting well-being, with workspaces for remote work._x000a_- **Facilities**:_x000a_- Sand pools, cycling/jogging lanes, sports zones, yoga spaces, and dog parks._x000a_- Community center, Grill Pavilion, picnic areas, and childrenâ€™s park._x000a_- **Property Types**: Apartments, chalets, and townhouses with scenic views._x000a_- **Services**: 24/7 security and upscale maintenance._x000a_- **Location**: 30 minutes from Hurghada, in a prime El Gouna spot._x000a_**Architecture by Innovation Design Studio**:_x000a_- Biophilic, minimalist design integrating nature._x000a_- Harmonious indoor-outdoor living with sustainable elements._x000a_**Developer**: Orascom Development Egypt (ODE), known for integrated resorts like El Gouna, Makadi Heights, and O West._x000a_Kamaran is ideal for those seeking a balanced, nature-inspired lifestyleâ€”whether as a holiday home, retreat, or permanent residence."/>
    <s v="Kamaran, Al Gouna, Hurghada, Red Sea"/>
    <x v="0"/>
    <s v=" 92 sqm"/>
    <x v="2"/>
    <x v="5"/>
    <d v="2025-08-27T00:00:00"/>
    <s v="Cash"/>
    <n v="9"/>
    <s v="1,500,000 EGP"/>
  </r>
  <r>
    <n v="14490000"/>
    <s v="Now You Can Own your Dream House in the most Premium Location in the Red Sea in Soma Bay Reef Town_x000a_Unit Details :_x000a_*2 Bedrooms chalet_x000a_*First Floor_x000a_*Area 105 m2  ( Terrace 36 m2 and 84m2 garden area)_x000a_*Payment Plan:_x000a_The Reef town apartment is to be delivered in 3 years with a 10% down payment and installments up to 5 years._x000a_Special Discount for Cash Price_x000a_Delivery : 3 Years_x000a_Somabay is a paradise getaway of 10.000.000 m2 in the Red Sea with a unique climate (365 days of warm weather) famed for its clear water (11 km of the beautiful coastal line), white sandy beaches and its Amazing Virgin coral reefs_x000a_Also, Somabay is famous for Golf, SPA, kite- and windsurfing, Aquapark, Horse stable, a Karting club, Paintball, and kids' play park._x000a_This land is missing nothing from entertainment felt and has very high investment potential in the Red Sea._x000a_Somabay Facilities &amp; Advantages :_x000a_High Community_x000a_Top Luxury Hotels (One of them is the Cascades that have the Biggest, most Famous and Wonderful Spa in the Middle East)_x000a_Beach Clubs_x000a_Kite Surfing Center (Somabay is Ranked as No.3 Kite Surfing Spot in the World)_x000a_Diving Center_x000a_Aqua Park_x000a_Jetty Hub_x000a_Somabay Raceway_x000a_Golf Academy &amp; Sports Hub_x000a_Golf Yards_x000a_Somabay Marina Have All Services Arround For Shopping_x000a_Events Platform_x000a_Kompass Kindergarden_x000a_Medical Center_x000a_Umm Gursan Island_x000a_Reef Island_x000a_Horse Stable_x000a_Pets Hotel_x000a_A Short Drive From Hurghada International Airport_x000a_Reef Town is located between Wadi Jebal and Soma Breeze the strategic positioning on the Reef side of the bay, and panoramic views of the Red Sea."/>
    <s v="Reef Town, Soma Bay, Safaga, Hurghada, Red Sea"/>
    <x v="0"/>
    <s v="103 sqm"/>
    <x v="2"/>
    <x v="0"/>
    <d v="2025-05-27T00:00:00"/>
    <s v="Cash"/>
    <n v="9"/>
    <s v="1,932,000 EGP"/>
  </r>
  <r>
    <n v="6000000"/>
    <s v="Hot Deal â€“ Apartment for Sale in Nour City â€“ 4 Million EGP Less Than Company Price_x000a_A rare opportunity to own a prime unit in Nour City by Madinet Nasr at a much lower price than the developerâ€™s current offer._x000a_Unit Details:_x000a_Built-up Area: 119 mآ²_x000a_Layout: 3 Bedrooms (including 1 Master) + 2 Bathrooms_x000a_Floor: 4th â€“ Direct North Orientation_x000a_Payment Plan: Monthly + Annual installment = 380,000 EGP_x000a_Down Payment Paid: 900,000 EGP_x000a_Premium Offer: Only 750,000 EGP (instead of 900,000)_x000a_Contract Value:_x000a_6,020,000 EGP over 13 years_x000a_4,500,000 EGP over 10 years_x000a_Developerâ€™s current price for the same unit: 10,000,000 EGP over 10 years._x000a_This is a golden opportunity for investment or living in one of the most strategic projects by MNHD â€“ Nour City."/>
    <s v="Noor City, Cairo"/>
    <x v="2"/>
    <s v="119 sqm"/>
    <x v="3"/>
    <x v="2"/>
    <d v="2025-08-21T00:00:00"/>
    <s v="Installments"/>
    <n v="9"/>
    <s v="1,550,000 EGP"/>
  </r>
  <r>
    <n v="10700000"/>
    <s v="fully finished twin chalet in red sea with prime location_x000a_for more details: 01507947655_x000a_details:_x000a_1bedrooms_x000a_1bathrooms_x000a_bua: 70sqm_x000a_------------------------------------------------------------------_x000a_Location:_x000a_Travco has carefully selected the Ras Soma location within the Soma Bay area, strategically situated between Hurghada and Safaga. It is easily accessible via the Hurghadaâ€“Ismailia and Hurghadaâ€“Cairo highways._x000a_Ras Soma is located 55 km south of Hurghada International Airport and only a 4-hour flight from Central European airports. The project is accessible via Route 65M and is surrounded by luxurious resorts and popular tourist destinations._x000a_-------------------------------------------------------------_x000a_--------------------------------------------------------------_x000a_#ras soma, ras soma bay, ras soma resort, ras abu soma, ras soma residence, ras soma residences, ras abu soma bay, steigenberger ras soma, the ras soma resort red sea egypt, steigenberger ras soma resort, travco, ras soma resort soma bay red sea egypt, rassoma, abu soma travel guide - egypt holidays, soma, sheraton soma bay, travco properties, arc of soma bay, soma bay, abu soma, almaza soma bay, soma bay instagram, abu soma bay, ras, abu soma beach, arc of soma bay hurghada, travco properties developments, kokomo soma bay"/>
    <s v="Ras Soma, Safaga, Hurghada, Red Sea"/>
    <x v="0"/>
    <s v=" 70 sqm"/>
    <x v="0"/>
    <x v="0"/>
    <d v="2025-09-01T00:00:00"/>
    <s v="Installments"/>
    <n v="-4"/>
    <m/>
  </r>
  <r>
    <n v="14000000"/>
    <s v="Own your 2-bedroom apartment on the 3rd floor with a sea breeze orientation, with only 5% down payment and delivery in 1 year._x000a_Located in Hyde Park Compound â€“ Fifth Settlement, in the prime Greens phase._x000a_Area: 115 sqm, consisting of 2 bedrooms including a master with dressing and private bathroom, terrace, guest bathroom, kitchen, and spacious reception._x000a_For viewing and more details: 01200023762"/>
    <s v="Azzar Legacy, 5th Settlement Compounds, The 5th Settlement, New Cairo City, Cairo"/>
    <x v="2"/>
    <s v="115 sqm"/>
    <x v="2"/>
    <x v="2"/>
    <d v="2025-08-31T00:00:00"/>
    <s v="Cash"/>
    <n v="7"/>
    <s v="700,000 EGP"/>
  </r>
  <r>
    <n v="40000000"/>
    <s v="Zone : Sapphire_x000a_Type : Standalone Villa_x000a_BUA : 386_x000a_Land Area : 551_x000a_Finishing : Semi-Finished_x000a_Delivery : Ready to move_x000a_Downpayment : 35,534,528_x000a_Remaining installment : 4,465,472_x000a_Total Price : 40,000,000_x000a_Included Maintenance + 2 Parking Slots_x000a_Citygate is an integrated community everything you need in one place, starting with tranquillity of nature, green spaces and amenities distributed in a well-planned space in an iconic marvellous location on New Cairo._x000a_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tions."/>
    <s v="City Gate, 5th Settlement Compounds, The 5th Settlement, New Cairo City, Cairo"/>
    <x v="1"/>
    <s v="386 sqm"/>
    <x v="7"/>
    <x v="3"/>
    <d v="2025-08-28T00:00:00"/>
    <s v="Cash"/>
    <n v="-4"/>
    <m/>
  </r>
  <r>
    <n v="52713262"/>
    <s v="Please Note Before Reading:_x000a_This is one of many units we offer in this project, developer &amp; zone we have all unit types_x000a_Call or WhatsApp  Us now: +201229888700_x000a_View more on TheRealtyCo. org or our Property Finder page_x000a_Brought to you by TheRealtyCo. (TRC)_x000a_This property is part of a curated portfolio offered by TheRealtyCo., combining a prime location, smart layout, and modern design. Whether youâ€™re looking for a home, investment, or luxury lifestyle, this unit offers privacy, comfort, and long-term value._x000a_Residents enjoy landscaped areas, gyms, pools, and 24/7 security. Some units also feature private gardens, large balconies, staff quarters, and dedicated parking._x000a_Our projects are located in vibrant, well-connected communities with access to schools, hospitals, shopping, and main roads. Flexible payment plans may be available to help you secure the right unit._x000a_TRC is a full-service real estate consultancy offering support across every step â€” from buying and selling to rentals, investments, and property management in Cairo, Dubai, and beyond._x000a_Contact Us_x000a_+201007777355 (Office &amp; After Hours)_x000a_Our Services_x000a_* Portfolio Management_x000a_* Property Rentals_x000a_* Resale &amp; Primary Units_x000a_* Mortgage Advisory_x000a_* Property Management_x000a_* Holiday Homes_x000a_* Interior Design_x000a_Stay Connected_x000a_Instagram: @therealtyco.trc_x000a_Facebook: TheRealtyCo._x000a_LinkedIn: TheRealtyCo._x000a_Call/ WhatsApp: +201203264626_x000a_Website: therealtyco. org_x000a_Email: info@therealtyco.com_x000a_Visit Us_x000a_West Office: G17 The Block Mall | Green 4 | TRC Sales Center | Palm Hills October_x000a_East Office: Mindhaus | District 5 | Marakez | New Katameya_x000a_Your Perfect Property Awaits â€” with TRC. Now."/>
    <s v="Marassi, Sidi Abdel Rahman, North Coast"/>
    <x v="1"/>
    <s v="349 sqm"/>
    <x v="5"/>
    <x v="6"/>
    <d v="2025-08-31T00:00:00"/>
    <s v="Installments"/>
    <n v="10"/>
    <s v="10,542,652 EGP"/>
  </r>
  <r>
    <n v="12613652"/>
    <s v="Marina 8_x000a_â€¢ chalet_x000a_â€¢ Resale_x000a_â€¢ Off plan_x000a_* Sale_x000a_â€¢ Marina 8_x000a_â€¢ North Coast_x000a_â€¢ SED_x000a_â€¢ Bua 146_x000a_* âپ      3 bedrooms_x000a_â€¢ 3 bathrooms_x000a_â€¢ floor 1_x000a_â€¢ Finishing ( Core&amp; Shell )_x000a_â€¢ View lagoon , ba7ry_x000a_â€¢ Delivery 1 Year_x000a_â€¢ Payment Terms :_x000a_o Total Price 12,613,652_x000a_o Down-payment 4,959,324_x000a_o Installments 324,804 per quarter_x000a_o Maintenance 508,640 included in total price_x000a_o Remaining 7,145,688_x000a_About New Avenue:_x000a_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_x000a_Given our individual experiences in the top real estate companies in Egypt &amp; abroad, we have reached the conclusion that trust is primary factor we should be offering you when it comes to buying, renting or submitting your property for sale or rent._x000a_New Avenue is aiming to provide our customer with almost all the needs that you would need Residential or Commercial. New Avenue offers offices and Retails that are available in almost every district in Egypt like New Cairo, Heliopolis, Nasr City, 6th of October."/>
    <s v="Marina 8, Marina, Al Alamein, North Coast"/>
    <x v="0"/>
    <s v="146 sqm"/>
    <x v="3"/>
    <x v="5"/>
    <d v="2025-09-02T00:00:00"/>
    <s v="Installments"/>
    <n v="9"/>
    <s v="4,959,324 EGP"/>
  </r>
  <r>
    <n v="8000000"/>
    <s v="ظƒظ…ط¨ظˆظ†ط¯ ظ…ط²ط§ط±ظٹظ† ط§ظ„ط¹ظ„ظ…ظٹظ† ط§ظ„ط¬ط¯ظٹط¯ط© Mazarine_x000a_ط§ظ…ط§ظ… ط§ط¨ط±ط§ط¬ ط§ظ„ط¹ظ„ظ…ظٹظ† ظ…ط¨ط§ط´ط±ظ‡  ظپظٹظˆ ط¹ ط§ظ„ط¨ط­ط±_x000a_ظ…ظˆظ‚ط¹ ط§ظ„ظ…ط´ط±ظˆط¹ ظٹظ‚ط¹ ظپظٹ ظ‚ظ„ط¨ ط§ظ„ط¹ظ„ظ…ظٹظ† ط§ظ„ط¬ط¯ظٹط¯ط© ط؛ط±ط¨ ط§ظ„ط³ط§ط­ظ„ ط§ظ„ط´ظ…ط§ظ„ظٹ_x000a_ط§ظ„ظ…ط±ط§ظپظ‚ ظˆط§ظ„ط®ط¯ظ…ط§طھ_x000a_ط§ظ†ط¯ظٹط© ط±ظٹط§ط¶ظٹط©_x000a_ط­ط¯ط§ط¦ظ‚_x000a_ظ…ط¯ط§ط±ط³_x000a_ظ…ط±ط§ظƒط² ط·ط¨ظٹط©_x000a_ظ…ط±ظƒط² طھط¬ط§ط±ظٹ_x000a_ظ…ظ…ط±ط§طھ ظ„ظ„ط¯ط±ط§ط¬ط§طھ_x000a_ظٹط¹طھط¨ط± ظ…ظƒط§ظ† ظ…ظ…ظٹط² ط·ظˆط§ظ„ ط§ظ„ط³ظ†ظ‡ ظˆظٹظ…ظƒظ† طھط§ط¬ظٹط± ط§ظ„ظˆط­ط¯ط§طھ ظ„ظ„ط´ط±ظƒط§طھ ط§ظ„ط§ط¬ظ†ط¨ظٹظ‡ ط§ظ„ظ…ظˆط¬ظˆط¯ط© ظپظٹ ظ…ظ†ط·ظ‚ظ‡ ط§ظ„ط¹ظ„ظ…ظٹظ†_x000a_ظٹظˆظپط± ط§ظ„ظ…ط´ط±ظˆط¹ ط§ظ„ظ‚ط±ط¨ ظ…ظ† ظ…ط·ط§ط± ط§ظ„ط¹ظ„ظ…ظٹظ† ط§ظ„ط¬ط¯ظٹط¯ط©"/>
    <s v="Mazarine, New Alamein City, Al Alamein, North Coast"/>
    <x v="0"/>
    <s v="140 sqm"/>
    <x v="2"/>
    <x v="0"/>
    <d v="2024-07-05T00:00:00"/>
    <s v="Installments"/>
    <n v="9"/>
    <s v="2,250,000 EGP"/>
  </r>
  <r>
    <n v="1800000"/>
    <s v="ط´ظ‚ظ‡ ظ„ظ„ط¨ظٹط¹ ظ…ط³ط§ط­ظ‡ ظ،ظ¦ظ¥ظ… ظپظٹ ط­ط¯ط§ط¦ظ‚ ط§ظƒطھظˆط¨ط± ظ…ظ†ط·ظ‚ط© ط§ظ„ظ…ط³ظ„ط³ظ„ط§طھ_x000a_ط¹ ط§ظ„ط±ط¦ظٹط³ظٹ ظ…ط¨ط§ط´ط± ط§ظ…ط§ظ… ط§ظ„ظ…ظ…ط´ظٹ ط§ظ„ط³ظٹط§ط­ظٹ ظˆط·ط±ظٹظ‚ ط§ظ„ظپظٹظˆظ… ظˆط§ظ„ظ‚ط·ط§ط± ط§ظ„ط³ط±ظٹط¹ ظˆط¨ط¬ظˆط§ط± ط´ط§ط±ط¹ ط§ظ„ظ†ظˆط§ط¯ظٹ_x000a_ظپظٹظˆ ظ…ظپطھظˆط­ ظˆط§ط¬ظ‡ظ‡ ط¨ط­ط±ظٹ ط´ط±ظ‚ظٹ طµط±ظٹط­_x000a_ظ…طھط§ط­ ظ…طھظƒط±ط± ط§ظ„ط¯ظˆط± ط§ظ„طھط§ظ†ظٹ ظˆط§ظ„ط£ظˆظ„_x000a_ط§ط­ظ†ط§ ط§ظ„ط´ط±ظƒظ‡ ط§ظ„ظ…ط§ظ„ظƒظ‡ ط§ظ„ط¨ظٹط¹ ط¨ط¯ظˆظ† ط¹ظ…ظˆظ„ط§طھ_x000a_ط§ط³طھظ„ط§ظ… ظپظˆط±ظٹ ظ†ظ‡ط§ط¦ظٹ"/>
    <s v="Italian Neighborhood Road, Hadayek October, 6 October City, Giza"/>
    <x v="2"/>
    <s v="165 sqm"/>
    <x v="3"/>
    <x v="2"/>
    <d v="2024-07-05T00:00:00"/>
    <s v="Cash"/>
    <n v="-4"/>
    <m/>
  </r>
  <r>
    <n v="17294000"/>
    <s v="for sale apartment fully finished in sodic east new Heliopolis_x000a_built up area : 177sqm_x000a_3bedroom _ 3bathroom _ dressing room _ kitchen _ living +reception _ terrace_x000a_Master Plan of SODIC East Compound_x000a_SODIC East sprawls over 665 acres of land, and in order to utilize every square meter of the compound perfectly, SODIC crafted a master plan for the compound with distinguishing facilities. It partnered with the renowned Massachusetts-based Sasaki to develop a fully integrated community, putting your comfort and tranquility in mind._x000a_SODIC East is a peaceful gated community, thanks to following sustainability principles while developing it. It features vast greenery and natural landscapes. SODIC dedicated 84% of the landâ€™s area to open and green spaces._x000a_Your calm living experience in SODIC East will include enjoying a morning stroll amid greenery, and experiencing a tranquil evening under the skies at night in the fresh air._x000a_Additionally, there is a 26-acre garden in SODIC East Compound, where you can bond with your loved ones, have a nice picnic, or simply enjoy quality time where you can destress._x000a_payment plan_x000a_5%down payment_x000a_5%after 3 months_x000a_over 10 years installment_x000a_mina sobhy_x000a_01280069550_x000a_01050068170"/>
    <s v="Sodic East, 6th District, New Heliopolis, Cairo"/>
    <x v="2"/>
    <s v="177 sqm"/>
    <x v="3"/>
    <x v="5"/>
    <d v="2025-09-01T00:00:00"/>
    <s v="Installments"/>
    <n v="7"/>
    <s v="864,700 EGP"/>
  </r>
  <r>
    <n v="15230000"/>
    <s v="Project Name: City Gate._x000a_City Gate Location: New Cairo 10-minute drive from the American University._x000a_Type: Apartment_x000a_Built-up Area: 177 SQM_x000a_Number of bedrooms: 3_x000a_Delivery date: 2028_x000a_Finishing Status: Fully finished_x000a_Total selling price: 15,230,000 EGP_x000a_Downpayment: 5,586,000 EGP_x000a_Remaining amount: 9,644,000â€¬ EGP_x000a_Nestled within the CityGate community, Sapphire Golf Villas is a true masterpiece of contemporary architecture and design. Inspired by the luscious surrounding landscape, the villas exude a sense of peace and blend seamlessly into the enchanting shades of greenآ allآ around._x000a_Available Services inside City Gate_x000a_Inside City Gate New Cairo, there are four luxurious hotels with exquisite decorations that provide services at the highest level._x000a_Private picnic areas and gardens with rest areas so that the guests can spend the most enjoyable time with their children and breathe the fresh air for more psychological comfort and stability._x000a_A clubhouse contains all the health requirements that residents need for more luxury and comfort._x000a_Large garages to accommodate the largest number of guest cars and eliminate the problem of congestion in front of the buildings._x000a_Modern-designed halls with the latest equipment, sound, and display systems for study, in addition to the presence of spaces inside for holding weddings and parties._x000a_Commercial centers were established on an area of 720,000 square meters and contain many stores that provide goods and services and the most famous brands that meet the needs of guests._x000a_A chain of state-of-the-art restaurants and cafes with exquisite decorations, offering high-quality integrated services._x000a_Attention to the educational aspect, as three international schools were established with a group of experts in teaching to reach the highest levels of education._x000a_Medical care is available in City Gate New Cairo, which is represented in the presence of hospitals"/>
    <s v="City Gate, 5th Settlement Compounds, The 5th Settlement, New Cairo City, Cairo"/>
    <x v="1"/>
    <s v="334 sqm"/>
    <x v="1"/>
    <x v="1"/>
    <d v="2025-08-21T00:00:00"/>
    <s v="Installments"/>
    <n v="9"/>
    <s v="5,586,000 EGP"/>
  </r>
  <r>
    <n v="325000"/>
    <s v="Finished unit best location in New Zayed over 10Years with private garden_x000a_unit details:_x000a_2bedrooms_x000a_1 bathroom_x000a_Reception_x000a_kitchen_x000a_for more details: 01100806252_x000a_###Housing and Development Company for Real Estate Investment_x000a_A pioneer in Egypt's real estate development industry,the Housing and Development Company has earned a stellar reputation over its 40+ years of exceptional achievements. As an investment arm of the Housing and Development Bank,the company enjoys a robust financial foundation and strategic partnerships,enabling it to undertake large-scale,successful projects across Egypt. Committed to delivering innovative residential and commercial solutions,the company has consistently met the evolving needs of its customers. Its ability to create contemporary living spaces has solidified its position as a leading real estate developer. Beyond residential projects,the company's portfolio also includes commercial and medical developments,demonstrating its versatility._x000a_Flagship Projects_x000a_Properties for sale in Sheikh Zayed_x000a_3-bedroom apartments for sale in Sheikh Zayed_x000a_Houses and villas for sale in Sheikh Zayed_x000a_2-bedroom apartments for sale in Sheikh Zayed_x000a_Townhouses for sale in Sheikh Zayed_x000a_Twin houses for sale in Sheikh Zayed_x000a_4-bedroom apartments for sale in Sheikh Zayed_x000a_Duplexes for sale in Sheikh Zayed_x000a_Furnished apartments for sale in Sheikh Zayed_x000a_1-bedroom apartments for sale in Sheikh Zayed_x000a_Studio apartments for sale in Sheikh Zayed_x000a_5-bedroom apartments for sale in Sheikh Zayed_x000a_6-bedroom apartments for sale in Sheikh Zaye"/>
    <s v="Vye Sodic, New Zayed City, Sheikh Zayed City, Giza"/>
    <x v="2"/>
    <s v="100 sqm"/>
    <x v="2"/>
    <x v="2"/>
    <d v="2025-08-19T00:00:00"/>
    <s v="Cash"/>
    <n v="-4"/>
    <m/>
  </r>
  <r>
    <n v="5669240"/>
    <s v="550,000 units have been downloaded for quick sale._x000a_Cali Coast North Coast, Ras El Hekma_x000a_Chalet_x000a_86 square meters_x000a_2 bedrooms + 2 bathrooms_x000a_First floor_x000a_Lagoon view_x000a_Fully finished - Delivery 2027_x000a_Required down payment: 3,250,000_x000a_Remaining amount: 2,419,240 in installments with the company until 2031_x000a_Maintenance deposit: 360,400_x000a_Cali Coast Village Location on the North Coast_x000a_Cali Coast Village is located at kilometer 191 on the Alexandria-Matrouh Road, specifically in the Ras El Hekma area, which is characterized by its tranquil atmosphere and natural charm. The village boasts clear turquoise waters and luxurious architectural designs, making it one of the most prominent tourist destinations, ideal for escaping the pressures of life and avoiding stress and work fatigue._x000a_Because access to this unique destination is crucial, Maven Real Estate Company was keen to choose a strategic location for the village, close to the most prominent roads and main axes, making it easily accessible from various locations. The village is also close to many of the region's vital landmarks, enhancing its appeal and making it an ideal destination for relaxation and luxury. Among the most prominent landmarks are:"/>
    <s v="Cali Coast, Ras Al Hekma, North Coast"/>
    <x v="0"/>
    <s v=" 86 sqm"/>
    <x v="2"/>
    <x v="2"/>
    <d v="2025-08-19T00:00:00"/>
    <s v="Installments"/>
    <n v="7"/>
    <s v="325,000 EGP"/>
  </r>
  <r>
    <n v="10900000"/>
    <s v="Developer | IL Cazar_x000a_Project | The Crest_x000a_Property Details :_x000a_PentHouse_x000a_BUA : 199 Sqm_x000a_3 Bedrooms_x000a_3 Bedrooms_x000a_Roof 199 Sqm_x000a_Fully Finished_x000a_Prime Location_x000a_10 Years Installments_x000a_For More Details Call : 01220512952_x000a_----------------------------------------------------------------_x000a_The Crest is a premium residential compound developed by Il Cazar Developments. It covers an expansive 158 acres of land that embodies the essence of two mini-cities within a vibrant urban landscape._x000a_Envisioned as a harmonious blend of community living and natural beauty, the project seamlessly integrates captivating water features, lush greenery, and scenic landscapes._x000a_-----------------------------------------------------------------_x000a_Properties for sale in 5th Settlement Compounds_x000a_Properties for sale in The Crest_x000a_Apartments for sale in The Crest_x000a_Villas for sale in The Crest_x000a_Townhouses for sale in The Crest_x000a_Penthouses for sale in The Crest_x000a_Twin houses for sale in The Crest_x000a_Duplexes for sale in The Crest"/>
    <s v="The Crest, 5th Settlement Compounds, The 5th Settlement, New Cairo City, Cairo"/>
    <x v="3"/>
    <s v="199 sqm"/>
    <x v="3"/>
    <x v="5"/>
    <d v="2025-07-06T00:00:00"/>
    <s v="Cash"/>
    <n v="7"/>
    <s v="200,000 EGP"/>
  </r>
  <r>
    <n v="3745575"/>
    <s v="165mآ² Apartment Garden and Landscape View â€“ Your perfect space with easy 6-year installments_x000a_3 Bedrooms (Master room with private bathroom + dressing) â€“ 3 Full Bathrooms â€“ Spacious 3-piece reception â€“ Modern kitchen with practical layout â€“ 2 Terraces with direct garden view_x000a_Integrated services:_x000a_Green areas â€“ 24/7 Security â€“ Commercial mall â€“ Club house â€“ Private garage â€“ Kidsâ€™ play areas â€“ Swimming pools â€“ Fully equipped gym_x000a_Payment plan: Only 15% down payment with easy installments up to 7 years and 7% discount for a limited time_x000a_Delivery within 4 years â€“ guaranteed delivery in an integrated upscale compound_x000a_Supervised by the largest consultancy offices in Egypt and the Middle East_x000a_Engineer Hussein Sabbour Company â€“ for the first time in New Obour_x000a_DSC (Distance Studio Consultants)_x000a_Location:_x000a_In New Obour â€“ on 90 Street â€“ 400m direct frontage on the Green Belt_x000a_Only one minute from New Obour City Authority_x000a_Close to the 8th District Carrefour and Obour Main Axis_x000a_Easy access through the Middle Ring Road and Line 10_x000a_Project components:_x000a_Integrated residential and commercial compound_x000a_21 Buildings_x000a_Green areas and integrated services_x000a_Only 20% buildings + 80% dedicated to services and landscape_x000a_Your chance now:_x000a_For details contact us on (01103357064)_x000a_Or on hotline 16988_x000a_Lowest down payment and payment facilities up to 7 years_x000a_Valero Real Estate Development_x000a_One of the leading companies in the real estate development sector in Obour and New Obour_x000a_Founded by a team of top consultants and experts in real estate and development in Egypt and Saudi Arabia_x000a_Works according to the principle of trust committed to turning visions into reality through dedication and perfection_x000a_Aims to provide exceptional real estate solutions that meet clientsâ€™ needs and keep up with their aspirations"/>
    <s v="Obour City, Qalyubia"/>
    <x v="2"/>
    <s v="165 sqm"/>
    <x v="3"/>
    <x v="5"/>
    <d v="2025-07-06T00:00:00"/>
    <s v="Cash"/>
    <n v="7"/>
    <s v="561,836 EGP"/>
  </r>
  <r>
    <n v="6000000"/>
    <s v="ط´ظ‚ظ‚ ظ„ظ„ط¨ظٹط¹ ط¨ط§ظ„ظ‚ط§ظ‡ط±ط© ط§ظ„ط¬ط¯ظٹط¯ط© - ظƒظ…ط¨ظˆظ†ط¯ ظ‡ط§ظٹط¯ ط¨ط§ط±ظƒ_x000a_ط§ظ„ظ…ط³ط§ط­ط© : 139 ظ…طھط±_x000a_ط§ظ„ط³ط¹ط± : 7,200,000 ط¬ظ†ظٹظ‡_x000a_ط§ظ„ظ…ظ‚ط¯ظ… : 6,000,000 ط¬ظ†ظٹط©_x000a_ظ†طµظپ طھط´ط·ظٹط¨_x000a_ظ…ظƒظˆظ†ط© ظ…ظ† : 2 ط؛ط±ظپ ظ†ظˆظ… + 2 ط­ظ…ط§ظ…_x000a_ط¥ط³طھظ„ط§ظ… : 6 ط´ظ‡ظˆط±_x000a_---------------------------------------------_x000a_Apartment for sale in New Cairo Compounds - Hyde Park_x000a_BUA : 139m_x000a_Sale Price : 7,200,000 EGP_x000a_Down Payment : 6,000,000 EGP_x000a_Semi Finished_x000a_2 Bedrooms + 2 Bathrooms_x000a_Delivery Date : 6 Months_x000a_---------------------------------------------------------------_x000a_Hyde Park New Cairo Location_x000a_The location of the compound was strategically chosen to be in the most thriving spot in New Cairo. With immediate access to the Ring Road and Road 90, Hyde Park New Cairo location is only a few kilometers from the AUC campus and less than half an hour away from Cairo International Airport. It is also worth noting that the compound is in close proximity to the new administrative capital._x000a_Hyde Park New Cairo compound is the ultimate place to be, as it extends over 6 million square meters with a notable collection of properties and amenities. The compound is one of the biggest mixed-use projects in the city._x000a_Hydepark Egypt is much more than a residential compound, it's a whole community that celebrates your achievements and raises your living standards. The whole concept of the Hyde Park compound is that it's the place for new beginnings and happiness._x000a_===========================================_x000a_Apartments for sale in installments in New Cairo_x000a_Apartments for sale in installments in the Fifth Settlement_x000a_Apartments for sale in Hyde Park Compound_x000a_Apartment for sale in New Cairo, immediate delivery_x000a_Apartment for sale in Fifth Settlement, immediate delivery_x000a_Villa for sale in Fifth Settlement_x000a_Villa for sale in New Cairo_x000a_Villa for sale, immediate receipt_x000a_Apartments for sale in Hyde Park Compound"/>
    <s v="Hyde Park, 5th Settlement Compounds, The 5th Settlement, New Cairo City, Cairo"/>
    <x v="2"/>
    <s v="139 sqm"/>
    <x v="2"/>
    <x v="2"/>
    <d v="2025-07-09T00:00:00"/>
    <s v="Cash"/>
    <n v="-4"/>
    <m/>
  </r>
  <r>
    <n v="24557000"/>
    <s v="For Sale_x000a_Palm Hills_x000a_New Cairo_x000a_Town corner_x000a_BUA: 191.5m_x000a_Land: 246m_x000a_3 Bedrooms_x000a_3 Bathrooms_x000a_Nanny Room+ Bathroom_x000a_Delivery 2025_x000a_Down payment: 11,378,500 EGP_x000a_Remaining: 13,178,500 EGP_x000a_Total: 24,557,000 EGP_x000a_About New Avenue:_x000a_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_x000a_Given our individual experiences in the top real estate companies in Egypt &amp; abroad, we have reached the conclusion that trust is primary factor we should be offering you when it comes to buying, renting or submitting your property for sale or rent._x000a_New Avenue is aiming to provide our customer with almost all the needs that you would need Residential or Commercial. New Avenue offers offices and Retails that are available in almost every district in Egypt like New Cairo, Heliopolis,"/>
    <s v="Palm Hills New Cairo, 5th Settlement Compounds, The 5th Settlement, New Cairo City, Cairo"/>
    <x v="1"/>
    <s v="191 sqm"/>
    <x v="3"/>
    <x v="5"/>
    <d v="2025-07-17T00:00:00"/>
    <s v="Installments"/>
    <n v="10"/>
    <s v="11,378,500 EGP"/>
  </r>
  <r>
    <n v="27500000"/>
    <s v="ORA-DEVELOPMENT_x000a_--------------------------------------------------------------_x000a_UNIT DETAILS :_x000a_------------------_x000a_Bua : 250 Sqm_x000a_Garden : 60 Sqm_x000a_3 Bedroom_x000a_4 Bedroom_x000a_FULLY FINISHED With AC_x000a_---------------------------------------------------_x000a_FOR INFO :01201657597_x000a_FOR INFO :01201657597_x000a_---------------------------------------------------_x000a_FACILITES :_x000a_--------------_x000a_A one km of sandy beachfront._x000a_4 premium clubhouses_x000a_The Heart and The Crown fully fledged retail areas._x000a_A commercial hub of 6000 square meters_x000a_2 boutique hotels_x000a_An 88 square meter of lagoon_x000a_Sports area featuring multipurpose sports courts._x000a_services offered in Silver Town_x000a_Round-the-clock security services_x000a_Upscale maintenance services_x000a_Housekeeping services_x000a_-----------------------------------------------------------_x000a_ORA is a developer with an ethos to deliver unmatched experiences that embody human aspirations of self-fulfillment, and the pinnacle of happiness through a sensorial approach that can only be described as a surreal yet perfect moment of lifetime achievement in luxury living._x000a_Reimagining time, our projects are often likened to a complicated luxury timepiece that offer perfect blends of intricate detail which can only result in a flawless breathtaking moment of awe"/>
    <s v="Silver Sands, Qesm Marsa Matrouh, North Coast"/>
    <x v="3"/>
    <s v="225 sqm"/>
    <x v="3"/>
    <x v="1"/>
    <d v="2025-09-01T00:00:00"/>
    <s v="Cash"/>
    <n v="7"/>
    <s v="100,000 EGP"/>
  </r>
  <r>
    <n v="3600000"/>
    <s v="For the first time in New Heliopolis, Reserve a fully finished Apartment at the first offer price, with installments over 10 years, interest-free._x000a_In ELAIA Compound_x000a_Next to SODIC East and Talala Compound_x000a_Near the Suez Road and Amal Axis_x000a_Minutes from the New Administrative Capital_x000a_The compound is 60% villas_x000a_Apartment area 73 square meters (a studio with a very distinctive layout)_x000a_Master bedroom - bathroom_x000a_Two-piece reception area - large kitchen_x000a_Terrace with an open view_x000a_Fully finished_x000a_An investment opportunity at the lowest price per square meter_x000a_And in the most distinguished location within the compound_x000a_Services and amenities:_x000a_Security and guards_x000a_Sports clubs_x000a_Gardens_x000a_Cafes and restaurants_x000a_Surveillance cameras_x000a_Kids area_x000a_Shopping mall_x000a_Bicycle lanes_x000a_Medical centers_x000a_Green spaces_x000a_Plaza areas_x000a_Electronic gates_x000a_Car garages_x000a_With a down payment starting from only 5% and the remaining amount paid in installments over 10 years, interest-free_x000a_For more details: 01116140002"/>
    <s v="Elaia, New Heliopolis Compounds, New Heliopolis, Cairo"/>
    <x v="2"/>
    <s v=" 73 sqm"/>
    <x v="0"/>
    <x v="0"/>
    <d v="2025-08-30T00:00:00"/>
    <s v="Installments"/>
    <n v="7"/>
    <s v="180,000 EGP"/>
  </r>
  <r>
    <n v="9000000"/>
    <s v="Fully Finished Unique Duplex 2 Bedroom + Private Garden With Panoramic Sea View In Cali Coast Ras El Hekma Over 10 Years installments_x000a_Experience the epitome of coastal living with this elegant 2-bedroom duplex in the prestigious Cali Coast development by Maven Developments. Situated in the heart of Ras El Hekma, this property offers a seamless blend of modern design_x000a_Unit Details :_x000a_Built Up Area  : 140 SQM_x000a_Number Of Bedrooms : 2_x000a_Number Of Bathrooms : 2_x000a_Garden Area : 30 SQM_x000a_Fully Finished_x000a_Payment Plane : Over 10 Years Installments_x000a_About Cali Coast Ras El Hekma :_x000a_Cali Coast Ras El Hekma is one of the magnificent beach resorts by Maven Developments on the North Coast. This unique project merges the California-style architecture with the old-school Sahel resulting into a one of a one-of-a-kind summer experience._x000a_Cali Coast North Coast is created to give you the vibe of the unforgettable summer days, relaxation, and enjoyment you are looking for._x000a_Bear in mind that the resort has an ideal location on the 193rd kilo, near numerous other high-end destinations. Combining the ideal location with the endless world-class amenities of the resort, it is easy to see why Cali Coast is on everyone's radar._x000a_Under Market Price_x000a_0% down Payment_x000a_Chalets for sale_x000a_Properties for sale in North Coast_x000a_Apartments for sale in North Coast_x000a_Villas for sale in North Coast_x000a_Townhouses for sale in North Coast_x000a_Penthouses for sale in North Coast_x000a_Chalets for sale in North Coast_x000a_Twin houses for sale in North Coast_x000a_Duplexes for sale in North Coast_x000a_Land for sale in North Coast_x000a_Bungalows for sale in North Coast_x000a_Hotel apartments for sale in North Coast_x000a_Properties for sale in North Coast_x000a_Apartments for sale in North Coast_x000a_Villas for sale in North Coast"/>
    <s v="The Med, Ras Al Hekma, North Coast"/>
    <x v="5"/>
    <s v="170 sqm"/>
    <x v="2"/>
    <x v="5"/>
    <d v="2025-08-31T00:00:00"/>
    <s v="Installments"/>
    <n v="-4"/>
    <m/>
  </r>
  <r>
    <n v="8600000"/>
    <s v="Resale Apartment in O West â€“ 156 SQM_x000a_3 Bedrooms (including 1 Master)_x000a_3 Bathrooms_x000a_Reception_x000a_Kitchen_x000a_Terrace_x000a_Prime Location â€“ Overlooking Landscape with Water Feature_x000a_Negotiable Price_x000a_Payment Plan:_x000a_Cash: 4,000,000 EGP_x000a_Remaining Installments: 395,000 EGP every 6 months until 2031_x000a_Total Price: 8,600,000 EGP_x000a_About Us:_x000a_We are RE/MAX EVEREST, a Franchise of RE/MAX, the World's No. 1 Real Estate Brokerage Brand. With more than 120,000 Agents in 8,400+ offices in 115 countries, we are presently the fastest growing real estate network in Egypt and the Middle East. Weâ€™re specialized in Sheikh Zayed, October, North Coast and Al Ain Al Sokhna areas."/>
    <s v="O West, 6 October Compounds, 6 October City, Giza"/>
    <x v="2"/>
    <s v="156 sqm"/>
    <x v="3"/>
    <x v="5"/>
    <d v="2025-09-02T00:00:00"/>
    <s v="Cash"/>
    <n v="9"/>
    <s v="4,000,000 EGP"/>
  </r>
  <r>
    <n v="16500000"/>
    <s v="BUA 195 SQM_x000a_3 BEDROOMS_x000a_3 BATHROOMS_x000a_READY TO MOVE_x000a_INSTALLMENT OVER 6Y_x000a_25% DOWN PAYMENT_x000a_PRIME LOCATION_x000a_01200070052_x000a_ABOUT CREEK TOWN_x000a_Creek Town is a luxury town located on the Suez Road in the First Settlement of New Cairo designed and executed to expound the art of space. The land area of Creek Town is 100 acres and the complex will include standalones, twin houses, apartments and unparalleled amenities. Two clubhouses, sports area and kids playground will serve the community."/>
    <s v="Creek Town, The 1st Settlement, New Cairo City, Cairo"/>
    <x v="5"/>
    <s v="195 sqm"/>
    <x v="3"/>
    <x v="5"/>
    <d v="2025-09-01T00:00:00"/>
    <s v="Installments"/>
    <n v="2"/>
    <s v="25 EGP"/>
  </r>
  <r>
    <n v="21000000"/>
    <s v="For the first time, Al-Masram Company offers in the Mar Bay project, the North Coast, an installment of 10 years for a limited period, a chalet with a full view of the sea with the finest_x000a_North Coast Projects_x000a_IN MARBAY - MR BAY FROM THE CEREMONY COMPANY_x000a_In the north coast in kilos 191, Ras Al-Hikma_x000a_The project area is 640 acres_x000a_Area: 200_x000a_Consisting of:_x000a_3 bedrooms | 4 bathrooms + nanny room including private bathroom with reception 2 pieces | Large kitchen Terrace in view open to the sea_x000a_Full vision of the sea and completely written off_x000a_Super Lux_x000a_Project Services:_x000a_* Club_x000a_â€¢Marina_x000a_* Restaurants_x000a_* Cafes_x000a_* Beach Club._x000a_* Commercial complex._x000a_* Club._x000a_* Various water activities._x000a_* Festival area._x000a_* Paths for cycling and walking_x000a_* Gym and spa_x000a_* International stores_x000a_With only 5% down and in installments over 10 years_x000a_Without interest_x000a_For more details _ 01103750503"/>
    <s v="Mar Bay, Ras Al Hekma, North Coast"/>
    <x v="7"/>
    <s v="200 sqm"/>
    <x v="3"/>
    <x v="5"/>
    <d v="2025-07-07T00:00:00"/>
    <s v="Installments"/>
    <n v="9"/>
    <s v="2,100,000 EGP"/>
  </r>
  <r>
    <n v="10450000"/>
    <s v="Duplex for sale in Hyde Park, 5th Settlement Compounds_x000a_Duplex Hyde park HPR2_x000a_Typical floor_x000a_Bua 216 m_x000a_3 bedroom + 3 bathroom_x000a_Down payment 10,450,000_x000a_Total 11,450,000_x000a_-----------------------------------------------------_x000a_About Hyde Park New Cairo_x000a_Hyde Park New Cairo by Hyde Park Developments is a premier residential compound situated in the heart of New Cairo, offering a harmonious blend of modern living and natural beauty. The development is meticulously designed to provide residents with a luxurious lifestyle, featuring expansive green spaces, state-of-the-art amenities, and a strategic location that ensures convenience and accessibility._x000a_Location of Hyde Park New Cairo_x000a_Hyde Park New Cairo boasts a prime location with easy access to major roads and key destinations, including:_x000a_5 minutes from South 90th Street_x000a_10 minutes from the American University in Cairo (AUC)_x000a_15 minutes from Cairo Festival City Mall_x000a_20 minutes from Cairo International Airport_x000a_25 minutes from Downtown Cairo_x000a_Features of Hyde Park New Cairo_x000a_Modern Architectural Design: Contemporary and innovative structures that blend seamlessly with the natural surroundings._x000a_Expansive Green Spaces: Lush parks and gardens offering serene environments for relaxation and recreation._x000a_World-Class Amenities: A fully equipped clubhouse, sports facilities, and recreational areas catering to diverse interests._x000a_24/7 Security: Advanced surveillance systems and dedicated security personnel ensuring residents safety and peace of mind._x000a_Commercial and Retail Hubs: Integrated shopping areas providing a variety of retail outlets, dining options, and entertainment venues._x000a_Educational and Healthcare Facilities: Proximity to reputable schools, universities, and medical centers._x000a_Sustainable Living: Environmentally friendly initiatives promoting green living and sustainability."/>
    <s v="Hyde Park, 5th Settlement Compounds, The 5th Settlement, New Cairo City, Cairo"/>
    <x v="5"/>
    <s v="216 sqm"/>
    <x v="3"/>
    <x v="5"/>
    <d v="2025-09-02T00:00:00"/>
    <s v="Cash"/>
    <n v="-4"/>
    <m/>
  </r>
  <r>
    <n v="30000000"/>
    <s v="- Misr Italia_x000a_- Solare_x000a_- For More Details : 01113322254_x000a_*Unit Details*_x000a_- Unit Type : Standalone Villa_x000a_- BUA : 264_x000a_- 5 Bedrooms + Nanny's Bedroom_x000a_- 5 Bathrooms + Nanny's Bathroom_x000a_- Fully Finished_x000a_About Solare_x000a_Solare Misr Italia Resort is one of the finest vacation destinations in North Coast. It is ideally located in Ras El Hekma, specifically on 199th km of Alexandria - Marsa Matrouh Road (International Coastal Road)._x000a_Solare Ras El Hekma is the home of many elite beach houses, accompanied by a myriad of top-notch amenities, from shopping venues to swimming pools, sports courts and facilities, and world-class hospitality services._x000a_Misr Italia ensures vacationers will unlock the ultimate tranquil and exciting coastal escapade in Solare North Coast Resort._x000a_Solare Misr Italia Master Plan_x000a_The Solare Misr Italia Project expands over 386 acres of land in North Coast, with a well-crafted master plan utilizing every square meter of the resort. It is a serene Eden where beach lovers enjoy a flawless summer, filled with unforgettable memories._x000a_Misr Italia designed Solare Ras El Hekma with various elevations. The resort is composed of 8 levels, each with its lavish set of units, featuring a direct, beautiful sea view. The project features a 1km beachfront, bewitchingly blending the azure Mediterranean with its white sandy beach._x000a_Solare Misr Italia Resort is elevated 30m above sea level, whereas 80% of the units exhibit enchanting water views. The project boasts various residential zones, which are:_x000a_Ciano_x000a_Cielo_x000a_Lumera_x000a_Furthermore, the Solare North Coast master plan outlines:_x000a_Islands floating over bewitching water bodies."/>
    <s v="Solare, Ras Al Hekma, North Coast"/>
    <x v="1"/>
    <s v="450 sqm"/>
    <x v="5"/>
    <x v="4"/>
    <d v="2025-08-31T00:00:00"/>
    <s v="Cash"/>
    <n v="9"/>
    <s v="1,500,000 EGP"/>
  </r>
  <r>
    <n v="18902000"/>
    <s v="Apartment for sale, 188 mآ², Palm Hills Alexandria Compound (Open View of the Green Spine)_x000a_2 master bedrooms, 3-piece reception, 2 bathrooms_x000a_Full utilities (electricity, water, and gas)_x000a_4th floor, 6-story building_x000a_Delivery 1/2026_x000a_Minimum 15% down payment_x000a_Total price: EGP 18,902,000 (down payment EGP 945,000 + remaining in installments over 10 years - including garage)_x000a_** Compound features: Green Spine + Mall + King International School + Metro Market + Club House_x000a_آ» For more details and to schedule a viewing, contact Mr. Abdelrahman Saleh: 01284015556_x000a_Unit code: 130208"/>
    <s v="Palm Hills, Alexandria Compounds, Alexandria"/>
    <x v="2"/>
    <s v="188 sqm"/>
    <x v="2"/>
    <x v="2"/>
    <d v="2025-09-01T00:00:00"/>
    <s v="Installments"/>
    <n v="7"/>
    <s v="945,000 EGP"/>
  </r>
  <r>
    <n v="3700000"/>
    <s v="A unique investment opportunity in the heart of Sheikh Zayed_x000a_Own your 72 square meter apartment now in G West Compound at the heart of El Thawra El Khadra_x000a_The apartment consists of one bedroom one bathroom a reception area and a kitchen_x000a_With only 370 thousand EGP down payment and installments up to 10 years_x000a_The compound offers all services including a commercial mall landscaped areas and artificial lakes kids area_x000a_gym_x000a_joggingآ track"/>
    <s v="Q-Hills, New Zayed City, Sheikh Zayed City, Giza"/>
    <x v="2"/>
    <s v=" 72 sqm"/>
    <x v="0"/>
    <x v="0"/>
    <d v="2025-09-02T00:00:00"/>
    <s v="Cash"/>
    <n v="7"/>
    <s v="370,000 EGP"/>
  </r>
  <r>
    <n v="12350000"/>
    <s v="_ PROJECT NAME : SOMA BAY_x000a__ DEVELOPER NAME : ABO SOMA DEVELOPMENT_x000a___________________________________________________________________x000a__ UNIT DETAILS :_x000a_- 1 MASTER BEDROOM_x000a_- 1 MASTER BATHROOM_x000a_- 2 BEDROOMS_x000a_- BATHROOM_x000a_- GUEST TOILET_x000a_- RECEPTION_x000a_- ROOF_x000a__________________________________________________________________x000a__ FEEL FREE TO CONTACT ME AT : 01201659282_x000a___________________________________________________________________x000a__ PAYMENT PLAN :_x000a_- 5% DOWNPAYMENT + 5% AFTER 6 MONTHS PAY OVER 7 YEARS INSTALLMENTS."/>
    <s v="Mesca, Soma Bay, Safaga, Hurghada, Red Sea"/>
    <x v="3"/>
    <s v="171 sqm"/>
    <x v="3"/>
    <x v="5"/>
    <d v="2025-08-28T00:00:00"/>
    <s v="Cash"/>
    <n v="7"/>
    <s v="930,000 EG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6807C-322C-4F28-BA0A-B6A86565ACFE}" name="PivotTable1"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2" firstHeaderRow="1" firstDataRow="1" firstDataCol="1"/>
  <pivotFields count="11">
    <pivotField compact="0" numFmtId="3" outline="0" showAll="0"/>
    <pivotField compact="0" outline="0" showAll="0"/>
    <pivotField compact="0" outline="0" showAll="0"/>
    <pivotField axis="axisRow" dataField="1" compact="0" outline="0" showAll="0">
      <items count="9">
        <item x="2"/>
        <item x="0"/>
        <item x="5"/>
        <item x="6"/>
        <item x="3"/>
        <item x="7"/>
        <item x="4"/>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9">
    <i>
      <x/>
    </i>
    <i>
      <x v="1"/>
    </i>
    <i>
      <x v="2"/>
    </i>
    <i>
      <x v="3"/>
    </i>
    <i>
      <x v="4"/>
    </i>
    <i>
      <x v="5"/>
    </i>
    <i>
      <x v="6"/>
    </i>
    <i>
      <x v="7"/>
    </i>
    <i t="grand">
      <x/>
    </i>
  </rowItems>
  <colItems count="1">
    <i/>
  </colItems>
  <dataFields count="1">
    <dataField name="Count of type" fld="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990182-2B88-49C7-887B-013D3F3913E0}" name="PivotTable3"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7:I47" firstHeaderRow="1" firstDataRow="2" firstDataCol="1"/>
  <pivotFields count="11">
    <pivotField compact="0" numFmtId="3" outline="0" showAll="0"/>
    <pivotField compact="0" outline="0" showAll="0"/>
    <pivotField compact="0" outline="0" showAll="0"/>
    <pivotField axis="axisRow" compact="0" outline="0" showAll="0">
      <items count="9">
        <item x="2"/>
        <item x="0"/>
        <item x="5"/>
        <item x="6"/>
        <item x="3"/>
        <item x="7"/>
        <item x="4"/>
        <item x="1"/>
        <item t="default"/>
      </items>
    </pivotField>
    <pivotField compact="0" outline="0" showAll="0"/>
    <pivotField compact="0" outline="0" showAll="0"/>
    <pivotField axis="axisCol" dataField="1" compact="0" outline="0" showAll="0">
      <items count="8">
        <item x="0"/>
        <item x="2"/>
        <item x="5"/>
        <item x="1"/>
        <item x="4"/>
        <item x="6"/>
        <item x="3"/>
        <item t="default"/>
      </items>
    </pivotField>
    <pivotField compact="0" outline="0" showAll="0"/>
    <pivotField compact="0" outline="0" showAll="0"/>
    <pivotField compact="0" outline="0" showAll="0"/>
    <pivotField compact="0" outline="0" showAll="0"/>
  </pivotFields>
  <rowFields count="1">
    <field x="3"/>
  </rowFields>
  <rowItems count="9">
    <i>
      <x/>
    </i>
    <i>
      <x v="1"/>
    </i>
    <i>
      <x v="2"/>
    </i>
    <i>
      <x v="3"/>
    </i>
    <i>
      <x v="4"/>
    </i>
    <i>
      <x v="5"/>
    </i>
    <i>
      <x v="6"/>
    </i>
    <i>
      <x v="7"/>
    </i>
    <i t="grand">
      <x/>
    </i>
  </rowItems>
  <colFields count="1">
    <field x="6"/>
  </colFields>
  <colItems count="8">
    <i>
      <x/>
    </i>
    <i>
      <x v="1"/>
    </i>
    <i>
      <x v="2"/>
    </i>
    <i>
      <x v="3"/>
    </i>
    <i>
      <x v="4"/>
    </i>
    <i>
      <x v="5"/>
    </i>
    <i>
      <x v="6"/>
    </i>
    <i t="grand">
      <x/>
    </i>
  </colItems>
  <dataFields count="1">
    <dataField name="Count of bathrooms" fld="6"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1B5A67-C8AF-4B21-9918-AF6D04448C5F}" name="PivotTable2"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J26" firstHeaderRow="1" firstDataRow="2" firstDataCol="1"/>
  <pivotFields count="11">
    <pivotField compact="0" numFmtId="3" outline="0" showAll="0"/>
    <pivotField compact="0" outline="0" showAll="0"/>
    <pivotField compact="0" outline="0" showAll="0"/>
    <pivotField axis="axisRow" compact="0" outline="0" showAll="0">
      <items count="9">
        <item x="2"/>
        <item x="0"/>
        <item x="5"/>
        <item x="6"/>
        <item x="3"/>
        <item x="7"/>
        <item x="4"/>
        <item x="1"/>
        <item t="default"/>
      </items>
    </pivotField>
    <pivotField compact="0" outline="0" showAll="0"/>
    <pivotField axis="axisCol" dataField="1" compact="0" outline="0" showAll="0">
      <items count="9">
        <item x="0"/>
        <item x="2"/>
        <item x="3"/>
        <item x="1"/>
        <item x="5"/>
        <item x="7"/>
        <item x="4"/>
        <item x="6"/>
        <item t="default"/>
      </items>
    </pivotField>
    <pivotField compact="0" outline="0" showAll="0"/>
    <pivotField compact="0" outline="0" showAll="0"/>
    <pivotField compact="0" outline="0" showAll="0"/>
    <pivotField compact="0" outline="0" showAll="0"/>
    <pivotField compact="0" outline="0" showAll="0"/>
  </pivotFields>
  <rowFields count="1">
    <field x="3"/>
  </rowFields>
  <rowItems count="9">
    <i>
      <x/>
    </i>
    <i>
      <x v="1"/>
    </i>
    <i>
      <x v="2"/>
    </i>
    <i>
      <x v="3"/>
    </i>
    <i>
      <x v="4"/>
    </i>
    <i>
      <x v="5"/>
    </i>
    <i>
      <x v="6"/>
    </i>
    <i>
      <x v="7"/>
    </i>
    <i t="grand">
      <x/>
    </i>
  </rowItems>
  <colFields count="1">
    <field x="5"/>
  </colFields>
  <colItems count="9">
    <i>
      <x/>
    </i>
    <i>
      <x v="1"/>
    </i>
    <i>
      <x v="2"/>
    </i>
    <i>
      <x v="3"/>
    </i>
    <i>
      <x v="4"/>
    </i>
    <i>
      <x v="5"/>
    </i>
    <i>
      <x v="6"/>
    </i>
    <i>
      <x v="7"/>
    </i>
    <i t="grand">
      <x/>
    </i>
  </colItems>
  <dataFields count="1">
    <dataField name="Count of # bedrooms"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workbookViewId="0">
      <selection activeCell="N3" sqref="N3"/>
    </sheetView>
  </sheetViews>
  <sheetFormatPr defaultRowHeight="19.5" customHeight="1"/>
  <cols>
    <col min="1" max="1" width="19.85546875" style="2" customWidth="1"/>
    <col min="2" max="2" width="37.28515625" style="2" customWidth="1"/>
    <col min="3" max="3" width="85.5703125" style="2" bestFit="1" customWidth="1"/>
    <col min="4" max="4" width="11.28515625" style="2" bestFit="1" customWidth="1"/>
    <col min="5" max="5" width="19.28515625" style="2" customWidth="1"/>
    <col min="6" max="6" width="10" style="2" customWidth="1"/>
    <col min="7" max="7" width="10.7109375" style="2" bestFit="1" customWidth="1"/>
    <col min="8" max="8" width="14.28515625" style="2" bestFit="1" customWidth="1"/>
    <col min="9" max="9" width="17" style="2" bestFit="1" customWidth="1"/>
    <col min="10" max="10" width="17" style="2" customWidth="1"/>
    <col min="11" max="11" width="15" style="2" bestFit="1" customWidth="1"/>
    <col min="12" max="12" width="15" style="12" bestFit="1" customWidth="1"/>
    <col min="13" max="16384" width="9.140625" style="2"/>
  </cols>
  <sheetData>
    <row r="1" spans="1:13" ht="19.5" customHeight="1">
      <c r="A1" s="8" t="s">
        <v>0</v>
      </c>
      <c r="B1" s="8" t="s">
        <v>1</v>
      </c>
      <c r="C1" s="8" t="s">
        <v>2</v>
      </c>
      <c r="D1" s="8" t="s">
        <v>3</v>
      </c>
      <c r="E1" s="8" t="s">
        <v>4</v>
      </c>
      <c r="F1" s="8" t="s">
        <v>5</v>
      </c>
      <c r="G1" s="8" t="s">
        <v>6</v>
      </c>
      <c r="H1" s="8" t="s">
        <v>7</v>
      </c>
      <c r="I1" s="8" t="s">
        <v>8</v>
      </c>
      <c r="J1" s="8" t="s">
        <v>9</v>
      </c>
      <c r="K1" s="8" t="s">
        <v>10</v>
      </c>
      <c r="L1" s="11" t="s">
        <v>11</v>
      </c>
      <c r="M1" s="10" t="s">
        <v>12</v>
      </c>
    </row>
    <row r="2" spans="1:13" ht="19.5" customHeight="1">
      <c r="A2" s="3">
        <v>8000000</v>
      </c>
      <c r="B2" s="4" t="s">
        <v>13</v>
      </c>
      <c r="C2" s="1" t="s">
        <v>14</v>
      </c>
      <c r="D2" s="1" t="s">
        <v>15</v>
      </c>
      <c r="E2" s="1" t="s">
        <v>16</v>
      </c>
      <c r="F2" s="1" t="s">
        <v>17</v>
      </c>
      <c r="G2" s="1">
        <v>1</v>
      </c>
      <c r="H2" s="5">
        <v>45900</v>
      </c>
      <c r="I2" s="1" t="s">
        <v>18</v>
      </c>
      <c r="J2" s="1">
        <f>LEN(K2)-4</f>
        <v>9</v>
      </c>
      <c r="K2" s="1" t="s">
        <v>19</v>
      </c>
      <c r="L2" s="12" t="str">
        <f>IFERROR(IF(I2="Installments",LEFT(K2,J2),""),A2*0.17)</f>
        <v/>
      </c>
      <c r="M2" s="10"/>
    </row>
    <row r="3" spans="1:13" ht="19.5" customHeight="1">
      <c r="A3" s="3">
        <v>25000000</v>
      </c>
      <c r="B3" s="4" t="s">
        <v>20</v>
      </c>
      <c r="C3" s="1" t="s">
        <v>21</v>
      </c>
      <c r="D3" s="1" t="s">
        <v>22</v>
      </c>
      <c r="E3" s="1" t="s">
        <v>23</v>
      </c>
      <c r="F3" s="1" t="s">
        <v>24</v>
      </c>
      <c r="G3" s="1">
        <v>4</v>
      </c>
      <c r="H3" s="5">
        <v>45902</v>
      </c>
      <c r="I3" s="1" t="s">
        <v>18</v>
      </c>
      <c r="J3" s="1">
        <f t="shared" ref="J3:J66" si="0">LEN(K3)-4</f>
        <v>9</v>
      </c>
      <c r="K3" s="1" t="s">
        <v>25</v>
      </c>
      <c r="L3" s="12" t="str">
        <f t="shared" ref="L3:L66" si="1">IFERROR(IF(I3="Installments",LEFT(K3,J3),""),A3*0.17)</f>
        <v/>
      </c>
      <c r="M3" s="10"/>
    </row>
    <row r="4" spans="1:13" ht="19.5" customHeight="1">
      <c r="A4" s="3">
        <v>15135000</v>
      </c>
      <c r="B4" s="4" t="s">
        <v>26</v>
      </c>
      <c r="C4" s="1" t="s">
        <v>27</v>
      </c>
      <c r="D4" s="1" t="s">
        <v>15</v>
      </c>
      <c r="E4" s="1" t="s">
        <v>28</v>
      </c>
      <c r="F4" s="1" t="s">
        <v>29</v>
      </c>
      <c r="G4" s="1">
        <v>2</v>
      </c>
      <c r="H4" s="5">
        <v>45888</v>
      </c>
      <c r="I4" s="1" t="s">
        <v>18</v>
      </c>
      <c r="J4" s="1">
        <f t="shared" si="0"/>
        <v>9</v>
      </c>
      <c r="K4" s="1" t="s">
        <v>30</v>
      </c>
      <c r="L4" s="12" t="str">
        <f t="shared" si="1"/>
        <v/>
      </c>
      <c r="M4" s="10"/>
    </row>
    <row r="5" spans="1:13" ht="19.5" customHeight="1">
      <c r="A5" s="3">
        <v>12652000</v>
      </c>
      <c r="B5" s="4" t="s">
        <v>31</v>
      </c>
      <c r="C5" s="1" t="s">
        <v>32</v>
      </c>
      <c r="D5" s="1" t="s">
        <v>33</v>
      </c>
      <c r="E5" s="1" t="s">
        <v>34</v>
      </c>
      <c r="F5" s="1" t="s">
        <v>35</v>
      </c>
      <c r="G5" s="1">
        <v>2</v>
      </c>
      <c r="H5" s="5">
        <v>45895</v>
      </c>
      <c r="I5" s="1" t="s">
        <v>36</v>
      </c>
      <c r="J5" s="1">
        <f t="shared" si="0"/>
        <v>9</v>
      </c>
      <c r="K5" s="1" t="s">
        <v>37</v>
      </c>
      <c r="L5" s="12" t="str">
        <f t="shared" si="1"/>
        <v>1,260,000</v>
      </c>
      <c r="M5" s="10">
        <f t="shared" ref="M5:M66" si="2">L5/A5</f>
        <v>9.958899778691116E-2</v>
      </c>
    </row>
    <row r="6" spans="1:13" ht="19.5" customHeight="1">
      <c r="A6" s="3">
        <v>45250000</v>
      </c>
      <c r="B6" s="4" t="s">
        <v>38</v>
      </c>
      <c r="C6" s="1" t="s">
        <v>39</v>
      </c>
      <c r="D6" s="1" t="s">
        <v>22</v>
      </c>
      <c r="E6" s="1" t="s">
        <v>40</v>
      </c>
      <c r="F6" s="1" t="s">
        <v>41</v>
      </c>
      <c r="G6" s="1">
        <v>7</v>
      </c>
      <c r="H6" s="5">
        <v>45902</v>
      </c>
      <c r="I6" s="1" t="s">
        <v>18</v>
      </c>
      <c r="J6" s="1">
        <f t="shared" si="0"/>
        <v>9</v>
      </c>
      <c r="K6" s="1" t="s">
        <v>42</v>
      </c>
      <c r="L6" s="12" t="str">
        <f t="shared" si="1"/>
        <v/>
      </c>
      <c r="M6" s="10"/>
    </row>
    <row r="7" spans="1:13" ht="19.5" customHeight="1">
      <c r="A7" s="3">
        <v>19760000</v>
      </c>
      <c r="B7" s="4" t="s">
        <v>43</v>
      </c>
      <c r="C7" s="1" t="s">
        <v>44</v>
      </c>
      <c r="D7" s="1" t="s">
        <v>15</v>
      </c>
      <c r="E7" s="1" t="s">
        <v>45</v>
      </c>
      <c r="F7" s="1" t="s">
        <v>35</v>
      </c>
      <c r="G7" s="1">
        <v>2</v>
      </c>
      <c r="H7" s="5">
        <v>45895</v>
      </c>
      <c r="I7" s="1" t="s">
        <v>36</v>
      </c>
      <c r="J7" s="1">
        <f t="shared" si="0"/>
        <v>7</v>
      </c>
      <c r="K7" s="1" t="s">
        <v>46</v>
      </c>
      <c r="L7" s="12" t="str">
        <f t="shared" si="1"/>
        <v>988,000</v>
      </c>
      <c r="M7" s="10">
        <f t="shared" si="2"/>
        <v>0.05</v>
      </c>
    </row>
    <row r="8" spans="1:13" ht="19.5" customHeight="1">
      <c r="A8" s="3">
        <v>9000000</v>
      </c>
      <c r="B8" s="4" t="s">
        <v>47</v>
      </c>
      <c r="C8" s="1" t="s">
        <v>48</v>
      </c>
      <c r="D8" s="1" t="s">
        <v>49</v>
      </c>
      <c r="E8" s="1" t="s">
        <v>50</v>
      </c>
      <c r="F8" s="1" t="s">
        <v>24</v>
      </c>
      <c r="G8" s="1">
        <v>5</v>
      </c>
      <c r="H8" s="5">
        <v>45841</v>
      </c>
      <c r="I8" s="1" t="s">
        <v>36</v>
      </c>
      <c r="J8" s="1">
        <f t="shared" si="0"/>
        <v>-4</v>
      </c>
      <c r="K8" s="1"/>
      <c r="L8" s="12">
        <f>IFERROR(IF(I8="Installments",LEFT(K8,J8),""),A8*0.17)</f>
        <v>1530000</v>
      </c>
      <c r="M8" s="10"/>
    </row>
    <row r="9" spans="1:13" ht="19.5" customHeight="1">
      <c r="A9" s="3">
        <v>2770000</v>
      </c>
      <c r="B9" s="4" t="s">
        <v>51</v>
      </c>
      <c r="C9" s="1" t="s">
        <v>52</v>
      </c>
      <c r="D9" s="1" t="s">
        <v>22</v>
      </c>
      <c r="E9" s="1" t="s">
        <v>53</v>
      </c>
      <c r="F9" s="1" t="s">
        <v>54</v>
      </c>
      <c r="G9" s="1">
        <v>5</v>
      </c>
      <c r="H9" s="5">
        <v>45895</v>
      </c>
      <c r="I9" s="1" t="s">
        <v>18</v>
      </c>
      <c r="J9" s="1">
        <f t="shared" si="0"/>
        <v>-4</v>
      </c>
      <c r="K9" s="1"/>
      <c r="L9" s="12" t="str">
        <f t="shared" si="1"/>
        <v/>
      </c>
      <c r="M9" s="10"/>
    </row>
    <row r="10" spans="1:13" ht="19.5" customHeight="1">
      <c r="A10" s="3">
        <v>13200000</v>
      </c>
      <c r="B10" s="4" t="s">
        <v>55</v>
      </c>
      <c r="C10" s="1" t="s">
        <v>56</v>
      </c>
      <c r="D10" s="1" t="s">
        <v>57</v>
      </c>
      <c r="E10" s="1" t="s">
        <v>23</v>
      </c>
      <c r="F10" s="1" t="s">
        <v>35</v>
      </c>
      <c r="G10" s="1">
        <v>3</v>
      </c>
      <c r="H10" s="5">
        <v>45894</v>
      </c>
      <c r="I10" s="1" t="s">
        <v>18</v>
      </c>
      <c r="J10" s="1">
        <f t="shared" si="0"/>
        <v>-4</v>
      </c>
      <c r="K10" s="1"/>
      <c r="L10" s="12" t="str">
        <f t="shared" si="1"/>
        <v/>
      </c>
      <c r="M10" s="10"/>
    </row>
    <row r="11" spans="1:13" ht="19.5" customHeight="1">
      <c r="A11" s="3">
        <v>22300000</v>
      </c>
      <c r="B11" s="4" t="s">
        <v>58</v>
      </c>
      <c r="C11" s="1" t="s">
        <v>59</v>
      </c>
      <c r="D11" s="1" t="s">
        <v>60</v>
      </c>
      <c r="E11" s="1" t="s">
        <v>61</v>
      </c>
      <c r="F11" s="1" t="s">
        <v>35</v>
      </c>
      <c r="G11" s="1">
        <v>2</v>
      </c>
      <c r="H11" s="5">
        <v>45876</v>
      </c>
      <c r="I11" s="1" t="s">
        <v>36</v>
      </c>
      <c r="J11" s="1">
        <f t="shared" si="0"/>
        <v>9</v>
      </c>
      <c r="K11" s="1" t="s">
        <v>62</v>
      </c>
      <c r="L11" s="12" t="str">
        <f t="shared" si="1"/>
        <v>2,230,000</v>
      </c>
      <c r="M11" s="10">
        <f t="shared" si="2"/>
        <v>0.1</v>
      </c>
    </row>
    <row r="12" spans="1:13" ht="19.5" customHeight="1">
      <c r="A12" s="3">
        <v>5000000</v>
      </c>
      <c r="B12" s="4" t="s">
        <v>63</v>
      </c>
      <c r="C12" s="1" t="s">
        <v>64</v>
      </c>
      <c r="D12" s="1" t="s">
        <v>65</v>
      </c>
      <c r="E12" s="1" t="s">
        <v>23</v>
      </c>
      <c r="F12" s="1" t="s">
        <v>35</v>
      </c>
      <c r="G12" s="1">
        <v>4</v>
      </c>
      <c r="H12" s="5">
        <v>45900</v>
      </c>
      <c r="I12" s="1" t="s">
        <v>36</v>
      </c>
      <c r="J12" s="1">
        <f t="shared" si="0"/>
        <v>-4</v>
      </c>
      <c r="K12" s="1"/>
      <c r="L12" s="12">
        <f t="shared" si="1"/>
        <v>850000.00000000012</v>
      </c>
      <c r="M12" s="10"/>
    </row>
    <row r="13" spans="1:13" ht="19.5" customHeight="1">
      <c r="A13" s="3">
        <v>9300000</v>
      </c>
      <c r="B13" s="4" t="s">
        <v>66</v>
      </c>
      <c r="C13" s="1" t="s">
        <v>67</v>
      </c>
      <c r="D13" s="1" t="s">
        <v>15</v>
      </c>
      <c r="E13" s="1" t="s">
        <v>68</v>
      </c>
      <c r="F13" s="1" t="s">
        <v>17</v>
      </c>
      <c r="G13" s="1">
        <v>2</v>
      </c>
      <c r="H13" s="5">
        <v>45900</v>
      </c>
      <c r="I13" s="1" t="s">
        <v>18</v>
      </c>
      <c r="J13" s="1">
        <f t="shared" si="0"/>
        <v>-4</v>
      </c>
      <c r="K13" s="1"/>
      <c r="L13" s="12" t="str">
        <f t="shared" si="1"/>
        <v/>
      </c>
      <c r="M13" s="10"/>
    </row>
    <row r="14" spans="1:13" ht="19.5" customHeight="1">
      <c r="A14" s="3">
        <v>10000000</v>
      </c>
      <c r="B14" s="4" t="s">
        <v>69</v>
      </c>
      <c r="C14" s="1" t="s">
        <v>70</v>
      </c>
      <c r="D14" s="1" t="s">
        <v>33</v>
      </c>
      <c r="E14" s="1" t="s">
        <v>71</v>
      </c>
      <c r="F14" s="1" t="s">
        <v>29</v>
      </c>
      <c r="G14" s="1">
        <v>1</v>
      </c>
      <c r="H14" s="5">
        <v>45855</v>
      </c>
      <c r="I14" s="1" t="s">
        <v>18</v>
      </c>
      <c r="J14" s="1">
        <f t="shared" si="0"/>
        <v>7</v>
      </c>
      <c r="K14" s="1" t="s">
        <v>72</v>
      </c>
      <c r="L14" s="12" t="str">
        <f t="shared" si="1"/>
        <v/>
      </c>
      <c r="M14" s="10"/>
    </row>
    <row r="15" spans="1:13" ht="19.5" customHeight="1">
      <c r="A15" s="3">
        <v>20000000</v>
      </c>
      <c r="B15" s="4" t="s">
        <v>73</v>
      </c>
      <c r="C15" s="1" t="s">
        <v>74</v>
      </c>
      <c r="D15" s="1" t="s">
        <v>15</v>
      </c>
      <c r="E15" s="1" t="s">
        <v>75</v>
      </c>
      <c r="F15" s="1" t="s">
        <v>35</v>
      </c>
      <c r="G15" s="1">
        <v>3</v>
      </c>
      <c r="H15" s="5">
        <v>45902</v>
      </c>
      <c r="I15" s="1" t="s">
        <v>36</v>
      </c>
      <c r="J15" s="1">
        <f t="shared" si="0"/>
        <v>-4</v>
      </c>
      <c r="K15" s="1"/>
      <c r="L15" s="12">
        <f t="shared" si="1"/>
        <v>3400000.0000000005</v>
      </c>
      <c r="M15" s="10"/>
    </row>
    <row r="16" spans="1:13" ht="19.5" customHeight="1">
      <c r="A16" s="3">
        <v>3341100</v>
      </c>
      <c r="B16" s="4" t="s">
        <v>76</v>
      </c>
      <c r="C16" s="1" t="s">
        <v>77</v>
      </c>
      <c r="D16" s="1" t="s">
        <v>33</v>
      </c>
      <c r="E16" s="1" t="s">
        <v>78</v>
      </c>
      <c r="F16" s="1" t="s">
        <v>17</v>
      </c>
      <c r="G16" s="1">
        <v>1</v>
      </c>
      <c r="H16" s="5">
        <v>45899</v>
      </c>
      <c r="I16" s="1" t="s">
        <v>18</v>
      </c>
      <c r="J16" s="1">
        <f t="shared" si="0"/>
        <v>9</v>
      </c>
      <c r="K16" s="1" t="s">
        <v>79</v>
      </c>
      <c r="L16" s="12" t="str">
        <f t="shared" si="1"/>
        <v/>
      </c>
      <c r="M16" s="10"/>
    </row>
    <row r="17" spans="1:13" ht="19.5" customHeight="1">
      <c r="A17" s="3">
        <v>18000000</v>
      </c>
      <c r="B17" s="4" t="s">
        <v>80</v>
      </c>
      <c r="C17" s="1" t="s">
        <v>67</v>
      </c>
      <c r="D17" s="1" t="s">
        <v>60</v>
      </c>
      <c r="E17" s="1" t="s">
        <v>81</v>
      </c>
      <c r="F17" s="1" t="s">
        <v>29</v>
      </c>
      <c r="G17" s="1">
        <v>3</v>
      </c>
      <c r="H17" s="5">
        <v>45901</v>
      </c>
      <c r="I17" s="1" t="s">
        <v>18</v>
      </c>
      <c r="J17" s="1">
        <f t="shared" si="0"/>
        <v>9</v>
      </c>
      <c r="K17" s="1" t="s">
        <v>82</v>
      </c>
      <c r="L17" s="12" t="str">
        <f t="shared" si="1"/>
        <v/>
      </c>
      <c r="M17" s="10"/>
    </row>
    <row r="18" spans="1:13" ht="19.5" customHeight="1">
      <c r="A18" s="3">
        <v>3150000</v>
      </c>
      <c r="B18" s="4" t="s">
        <v>83</v>
      </c>
      <c r="C18" s="1" t="s">
        <v>32</v>
      </c>
      <c r="D18" s="1" t="s">
        <v>33</v>
      </c>
      <c r="E18" s="1" t="s">
        <v>84</v>
      </c>
      <c r="F18" s="1" t="s">
        <v>17</v>
      </c>
      <c r="G18" s="1">
        <v>1</v>
      </c>
      <c r="H18" s="5">
        <v>45900</v>
      </c>
      <c r="I18" s="1" t="s">
        <v>18</v>
      </c>
      <c r="J18" s="1">
        <f t="shared" si="0"/>
        <v>-4</v>
      </c>
      <c r="K18" s="1"/>
      <c r="L18" s="12" t="str">
        <f t="shared" si="1"/>
        <v/>
      </c>
      <c r="M18" s="10"/>
    </row>
    <row r="19" spans="1:13" ht="19.5" customHeight="1">
      <c r="A19" s="3">
        <v>29310000</v>
      </c>
      <c r="B19" s="4" t="s">
        <v>85</v>
      </c>
      <c r="C19" s="1" t="s">
        <v>86</v>
      </c>
      <c r="D19" s="1" t="s">
        <v>15</v>
      </c>
      <c r="E19" s="1" t="s">
        <v>87</v>
      </c>
      <c r="F19" s="1" t="s">
        <v>35</v>
      </c>
      <c r="G19" s="1">
        <v>4</v>
      </c>
      <c r="H19" s="5">
        <v>45901</v>
      </c>
      <c r="I19" s="1" t="s">
        <v>36</v>
      </c>
      <c r="J19" s="1">
        <f t="shared" si="0"/>
        <v>10</v>
      </c>
      <c r="K19" s="1" t="s">
        <v>88</v>
      </c>
      <c r="L19" s="12" t="str">
        <f t="shared" si="1"/>
        <v>11,724,000</v>
      </c>
      <c r="M19" s="10">
        <f t="shared" si="2"/>
        <v>0.4</v>
      </c>
    </row>
    <row r="20" spans="1:13" ht="19.5" customHeight="1">
      <c r="A20" s="3">
        <v>14127000</v>
      </c>
      <c r="B20" s="4" t="s">
        <v>89</v>
      </c>
      <c r="C20" s="1" t="s">
        <v>90</v>
      </c>
      <c r="D20" s="1" t="s">
        <v>15</v>
      </c>
      <c r="E20" s="1" t="s">
        <v>91</v>
      </c>
      <c r="F20" s="1" t="s">
        <v>29</v>
      </c>
      <c r="G20" s="1">
        <v>1</v>
      </c>
      <c r="H20" s="5">
        <v>45902</v>
      </c>
      <c r="I20" s="1" t="s">
        <v>36</v>
      </c>
      <c r="J20" s="1">
        <f t="shared" si="0"/>
        <v>7</v>
      </c>
      <c r="K20" s="1" t="s">
        <v>92</v>
      </c>
      <c r="L20" s="12" t="str">
        <f t="shared" si="1"/>
        <v>353,175</v>
      </c>
      <c r="M20" s="10">
        <f t="shared" si="2"/>
        <v>2.5000000000000001E-2</v>
      </c>
    </row>
    <row r="21" spans="1:13" ht="19.5" customHeight="1">
      <c r="A21" s="3">
        <v>16800000</v>
      </c>
      <c r="B21" s="4" t="s">
        <v>93</v>
      </c>
      <c r="C21" s="1" t="s">
        <v>74</v>
      </c>
      <c r="D21" s="1" t="s">
        <v>15</v>
      </c>
      <c r="E21" s="1" t="s">
        <v>87</v>
      </c>
      <c r="F21" s="1" t="s">
        <v>29</v>
      </c>
      <c r="G21" s="1">
        <v>3</v>
      </c>
      <c r="H21" s="5">
        <v>45900</v>
      </c>
      <c r="I21" s="1" t="s">
        <v>18</v>
      </c>
      <c r="J21" s="1">
        <f t="shared" si="0"/>
        <v>7</v>
      </c>
      <c r="K21" s="1" t="s">
        <v>94</v>
      </c>
      <c r="L21" s="12" t="str">
        <f t="shared" si="1"/>
        <v/>
      </c>
      <c r="M21" s="10"/>
    </row>
    <row r="22" spans="1:13" ht="19.5" customHeight="1">
      <c r="A22" s="3">
        <v>9000000</v>
      </c>
      <c r="B22" s="4" t="s">
        <v>95</v>
      </c>
      <c r="C22" s="1" t="s">
        <v>96</v>
      </c>
      <c r="D22" s="1" t="s">
        <v>33</v>
      </c>
      <c r="E22" s="1" t="s">
        <v>97</v>
      </c>
      <c r="F22" s="1" t="s">
        <v>35</v>
      </c>
      <c r="G22" s="1">
        <v>3</v>
      </c>
      <c r="H22" s="5">
        <v>45902</v>
      </c>
      <c r="I22" s="1" t="s">
        <v>36</v>
      </c>
      <c r="J22" s="1">
        <f t="shared" si="0"/>
        <v>7</v>
      </c>
      <c r="K22" s="1" t="s">
        <v>98</v>
      </c>
      <c r="L22" s="12" t="str">
        <f t="shared" si="1"/>
        <v>450,000</v>
      </c>
      <c r="M22" s="10">
        <f t="shared" si="2"/>
        <v>0.05</v>
      </c>
    </row>
    <row r="23" spans="1:13" ht="19.5" customHeight="1">
      <c r="A23" s="3">
        <v>9900000</v>
      </c>
      <c r="B23" s="4" t="s">
        <v>99</v>
      </c>
      <c r="C23" s="1" t="s">
        <v>100</v>
      </c>
      <c r="D23" s="1" t="s">
        <v>33</v>
      </c>
      <c r="E23" s="1" t="s">
        <v>101</v>
      </c>
      <c r="F23" s="1" t="s">
        <v>35</v>
      </c>
      <c r="G23" s="1">
        <v>3</v>
      </c>
      <c r="H23" s="5">
        <v>45900</v>
      </c>
      <c r="I23" s="1" t="s">
        <v>18</v>
      </c>
      <c r="J23" s="1">
        <f t="shared" si="0"/>
        <v>-4</v>
      </c>
      <c r="K23" s="1"/>
      <c r="L23" s="12" t="str">
        <f t="shared" si="1"/>
        <v/>
      </c>
      <c r="M23" s="10"/>
    </row>
    <row r="24" spans="1:13" ht="19.5" customHeight="1">
      <c r="A24" s="3">
        <v>14100000</v>
      </c>
      <c r="B24" s="4" t="s">
        <v>102</v>
      </c>
      <c r="C24" s="1" t="s">
        <v>103</v>
      </c>
      <c r="D24" s="1" t="s">
        <v>15</v>
      </c>
      <c r="E24" s="1" t="s">
        <v>104</v>
      </c>
      <c r="F24" s="1" t="s">
        <v>29</v>
      </c>
      <c r="G24" s="1">
        <v>1</v>
      </c>
      <c r="H24" s="5">
        <v>45868</v>
      </c>
      <c r="I24" s="1" t="s">
        <v>18</v>
      </c>
      <c r="J24" s="1">
        <f t="shared" si="0"/>
        <v>7</v>
      </c>
      <c r="K24" s="1" t="s">
        <v>105</v>
      </c>
      <c r="L24" s="12" t="str">
        <f t="shared" si="1"/>
        <v/>
      </c>
      <c r="M24" s="10"/>
    </row>
    <row r="25" spans="1:13" ht="19.5" customHeight="1">
      <c r="A25" s="3">
        <v>14100000</v>
      </c>
      <c r="B25" s="4" t="s">
        <v>106</v>
      </c>
      <c r="C25" s="1" t="s">
        <v>107</v>
      </c>
      <c r="D25" s="1" t="s">
        <v>15</v>
      </c>
      <c r="E25" s="1" t="s">
        <v>108</v>
      </c>
      <c r="F25" s="1" t="s">
        <v>35</v>
      </c>
      <c r="G25" s="1">
        <v>3</v>
      </c>
      <c r="H25" s="5">
        <v>45901</v>
      </c>
      <c r="I25" s="1" t="s">
        <v>18</v>
      </c>
      <c r="J25" s="1">
        <f t="shared" si="0"/>
        <v>-4</v>
      </c>
      <c r="K25" s="1"/>
      <c r="L25" s="12" t="str">
        <f t="shared" si="1"/>
        <v/>
      </c>
      <c r="M25" s="10"/>
    </row>
    <row r="26" spans="1:13" ht="19.5" customHeight="1">
      <c r="A26" s="3">
        <v>5382000</v>
      </c>
      <c r="B26" s="4" t="s">
        <v>109</v>
      </c>
      <c r="C26" s="1" t="s">
        <v>110</v>
      </c>
      <c r="D26" s="1" t="s">
        <v>33</v>
      </c>
      <c r="E26" s="1" t="s">
        <v>111</v>
      </c>
      <c r="F26" s="1" t="s">
        <v>17</v>
      </c>
      <c r="G26" s="1">
        <v>1</v>
      </c>
      <c r="H26" s="5">
        <v>45784</v>
      </c>
      <c r="I26" s="1" t="s">
        <v>18</v>
      </c>
      <c r="J26" s="1">
        <f t="shared" si="0"/>
        <v>7</v>
      </c>
      <c r="K26" s="1" t="s">
        <v>112</v>
      </c>
      <c r="L26" s="12" t="str">
        <f t="shared" si="1"/>
        <v/>
      </c>
      <c r="M26" s="10"/>
    </row>
    <row r="27" spans="1:13" ht="19.5" customHeight="1">
      <c r="A27" s="3">
        <v>11530000</v>
      </c>
      <c r="B27" s="4" t="s">
        <v>113</v>
      </c>
      <c r="C27" s="1" t="s">
        <v>114</v>
      </c>
      <c r="D27" s="1" t="s">
        <v>60</v>
      </c>
      <c r="E27" s="1" t="s">
        <v>115</v>
      </c>
      <c r="F27" s="1" t="s">
        <v>24</v>
      </c>
      <c r="G27" s="1">
        <v>4</v>
      </c>
      <c r="H27" s="5">
        <v>45901</v>
      </c>
      <c r="I27" s="1" t="s">
        <v>18</v>
      </c>
      <c r="J27" s="1">
        <f t="shared" si="0"/>
        <v>9</v>
      </c>
      <c r="K27" s="1" t="s">
        <v>116</v>
      </c>
      <c r="L27" s="12" t="str">
        <f t="shared" si="1"/>
        <v/>
      </c>
      <c r="M27" s="10"/>
    </row>
    <row r="28" spans="1:13" ht="19.5" customHeight="1">
      <c r="A28" s="3">
        <v>28000000</v>
      </c>
      <c r="B28" s="4" t="s">
        <v>117</v>
      </c>
      <c r="C28" s="1" t="s">
        <v>103</v>
      </c>
      <c r="D28" s="1" t="s">
        <v>57</v>
      </c>
      <c r="E28" s="1" t="s">
        <v>118</v>
      </c>
      <c r="F28" s="1" t="s">
        <v>35</v>
      </c>
      <c r="G28" s="1">
        <v>3</v>
      </c>
      <c r="H28" s="5">
        <v>45900</v>
      </c>
      <c r="I28" s="1" t="s">
        <v>18</v>
      </c>
      <c r="J28" s="1">
        <f t="shared" si="0"/>
        <v>9</v>
      </c>
      <c r="K28" s="1" t="s">
        <v>119</v>
      </c>
      <c r="L28" s="12" t="str">
        <f t="shared" si="1"/>
        <v/>
      </c>
      <c r="M28" s="10"/>
    </row>
    <row r="29" spans="1:13" ht="19.5" customHeight="1">
      <c r="A29" s="3">
        <v>3500000</v>
      </c>
      <c r="B29" s="4" t="s">
        <v>120</v>
      </c>
      <c r="C29" s="1" t="s">
        <v>121</v>
      </c>
      <c r="D29" s="1" t="s">
        <v>33</v>
      </c>
      <c r="E29" s="1" t="s">
        <v>122</v>
      </c>
      <c r="F29" s="1" t="s">
        <v>17</v>
      </c>
      <c r="G29" s="1">
        <v>1</v>
      </c>
      <c r="H29" s="5">
        <v>45890</v>
      </c>
      <c r="I29" s="1" t="s">
        <v>36</v>
      </c>
      <c r="J29" s="1">
        <f t="shared" si="0"/>
        <v>7</v>
      </c>
      <c r="K29" s="1" t="s">
        <v>72</v>
      </c>
      <c r="L29" s="12" t="str">
        <f t="shared" si="1"/>
        <v>900,000</v>
      </c>
      <c r="M29" s="10">
        <f t="shared" si="2"/>
        <v>0.25714285714285712</v>
      </c>
    </row>
    <row r="30" spans="1:13" ht="19.5" customHeight="1">
      <c r="A30" s="3">
        <v>9085000</v>
      </c>
      <c r="B30" s="4" t="s">
        <v>123</v>
      </c>
      <c r="C30" s="1" t="s">
        <v>124</v>
      </c>
      <c r="D30" s="1" t="s">
        <v>33</v>
      </c>
      <c r="E30" s="1" t="s">
        <v>125</v>
      </c>
      <c r="F30" s="1" t="s">
        <v>29</v>
      </c>
      <c r="G30" s="1">
        <v>2</v>
      </c>
      <c r="H30" s="5">
        <v>45853</v>
      </c>
      <c r="I30" s="1" t="s">
        <v>18</v>
      </c>
      <c r="J30" s="1">
        <f t="shared" si="0"/>
        <v>-4</v>
      </c>
      <c r="K30" s="1"/>
      <c r="L30" s="12" t="str">
        <f t="shared" si="1"/>
        <v/>
      </c>
      <c r="M30" s="10"/>
    </row>
    <row r="31" spans="1:13" ht="19.5" customHeight="1">
      <c r="A31" s="3">
        <v>4000000</v>
      </c>
      <c r="B31" s="4" t="s">
        <v>126</v>
      </c>
      <c r="C31" s="1" t="s">
        <v>127</v>
      </c>
      <c r="D31" s="1" t="s">
        <v>128</v>
      </c>
      <c r="E31" s="1" t="s">
        <v>129</v>
      </c>
      <c r="F31" s="1" t="s">
        <v>35</v>
      </c>
      <c r="G31" s="1">
        <v>3</v>
      </c>
      <c r="H31" s="5">
        <v>45888</v>
      </c>
      <c r="I31" s="1" t="s">
        <v>18</v>
      </c>
      <c r="J31" s="1">
        <f t="shared" si="0"/>
        <v>-4</v>
      </c>
      <c r="K31" s="1"/>
      <c r="L31" s="12" t="str">
        <f t="shared" si="1"/>
        <v/>
      </c>
      <c r="M31" s="10"/>
    </row>
    <row r="32" spans="1:13" ht="19.5" customHeight="1">
      <c r="A32" s="3">
        <v>18000000</v>
      </c>
      <c r="B32" s="4" t="s">
        <v>130</v>
      </c>
      <c r="C32" s="1" t="s">
        <v>131</v>
      </c>
      <c r="D32" s="1" t="s">
        <v>15</v>
      </c>
      <c r="E32" s="1" t="s">
        <v>132</v>
      </c>
      <c r="F32" s="1" t="s">
        <v>29</v>
      </c>
      <c r="G32" s="1">
        <v>2</v>
      </c>
      <c r="H32" s="5">
        <v>45902</v>
      </c>
      <c r="I32" s="1" t="s">
        <v>18</v>
      </c>
      <c r="J32" s="1">
        <f t="shared" si="0"/>
        <v>-4</v>
      </c>
      <c r="K32" s="1"/>
      <c r="L32" s="12" t="str">
        <f t="shared" si="1"/>
        <v/>
      </c>
      <c r="M32" s="10"/>
    </row>
    <row r="33" spans="1:13" ht="19.5" customHeight="1">
      <c r="A33" s="3">
        <v>8000000</v>
      </c>
      <c r="B33" s="4" t="s">
        <v>133</v>
      </c>
      <c r="C33" s="1" t="s">
        <v>134</v>
      </c>
      <c r="D33" s="1" t="s">
        <v>33</v>
      </c>
      <c r="E33" s="1" t="s">
        <v>97</v>
      </c>
      <c r="F33" s="1" t="s">
        <v>29</v>
      </c>
      <c r="G33" s="1">
        <v>1</v>
      </c>
      <c r="H33" s="5">
        <v>45880</v>
      </c>
      <c r="I33" s="1" t="s">
        <v>18</v>
      </c>
      <c r="J33" s="1">
        <f t="shared" si="0"/>
        <v>7</v>
      </c>
      <c r="K33" s="1" t="s">
        <v>135</v>
      </c>
      <c r="L33" s="12" t="str">
        <f t="shared" si="1"/>
        <v/>
      </c>
      <c r="M33" s="10"/>
    </row>
    <row r="34" spans="1:13" ht="19.5" customHeight="1">
      <c r="A34" s="3">
        <v>3900000</v>
      </c>
      <c r="B34" s="4" t="s">
        <v>136</v>
      </c>
      <c r="C34" s="1" t="s">
        <v>137</v>
      </c>
      <c r="D34" s="1" t="s">
        <v>33</v>
      </c>
      <c r="E34" s="1" t="s">
        <v>97</v>
      </c>
      <c r="F34" s="1" t="s">
        <v>29</v>
      </c>
      <c r="G34" s="1">
        <v>2</v>
      </c>
      <c r="H34" s="5">
        <v>45889</v>
      </c>
      <c r="I34" s="1" t="s">
        <v>18</v>
      </c>
      <c r="J34" s="1">
        <f t="shared" si="0"/>
        <v>7</v>
      </c>
      <c r="K34" s="1" t="s">
        <v>138</v>
      </c>
      <c r="L34" s="12" t="str">
        <f t="shared" si="1"/>
        <v/>
      </c>
      <c r="M34" s="10"/>
    </row>
    <row r="35" spans="1:13" ht="19.5" customHeight="1">
      <c r="A35" s="3">
        <v>25540000</v>
      </c>
      <c r="B35" s="4" t="s">
        <v>139</v>
      </c>
      <c r="C35" s="1" t="s">
        <v>140</v>
      </c>
      <c r="D35" s="1" t="s">
        <v>22</v>
      </c>
      <c r="E35" s="1" t="s">
        <v>141</v>
      </c>
      <c r="F35" s="1" t="s">
        <v>24</v>
      </c>
      <c r="G35" s="1">
        <v>5</v>
      </c>
      <c r="H35" s="5">
        <v>45902</v>
      </c>
      <c r="I35" s="1" t="s">
        <v>36</v>
      </c>
      <c r="J35" s="1">
        <f t="shared" si="0"/>
        <v>9</v>
      </c>
      <c r="K35" s="1" t="s">
        <v>142</v>
      </c>
      <c r="L35" s="12" t="str">
        <f t="shared" si="1"/>
        <v>1,250,000</v>
      </c>
      <c r="M35" s="10">
        <f t="shared" si="2"/>
        <v>4.8942834768989821E-2</v>
      </c>
    </row>
    <row r="36" spans="1:13" ht="19.5" customHeight="1">
      <c r="A36" s="3">
        <v>2992500</v>
      </c>
      <c r="B36" s="4" t="s">
        <v>143</v>
      </c>
      <c r="C36" s="1" t="s">
        <v>77</v>
      </c>
      <c r="D36" s="1" t="s">
        <v>33</v>
      </c>
      <c r="E36" s="1" t="s">
        <v>144</v>
      </c>
      <c r="F36" s="1" t="s">
        <v>17</v>
      </c>
      <c r="G36" s="1">
        <v>1</v>
      </c>
      <c r="H36" s="5">
        <v>45899</v>
      </c>
      <c r="I36" s="1" t="s">
        <v>18</v>
      </c>
      <c r="J36" s="1">
        <f t="shared" si="0"/>
        <v>7</v>
      </c>
      <c r="K36" s="1" t="s">
        <v>145</v>
      </c>
      <c r="L36" s="12" t="str">
        <f t="shared" si="1"/>
        <v/>
      </c>
      <c r="M36" s="10"/>
    </row>
    <row r="37" spans="1:13" ht="19.5" customHeight="1">
      <c r="A37" s="3">
        <v>71500000</v>
      </c>
      <c r="B37" s="4" t="s">
        <v>146</v>
      </c>
      <c r="C37" s="1" t="s">
        <v>147</v>
      </c>
      <c r="D37" s="1" t="s">
        <v>22</v>
      </c>
      <c r="E37" s="1" t="s">
        <v>148</v>
      </c>
      <c r="F37" s="1" t="s">
        <v>41</v>
      </c>
      <c r="G37" s="1">
        <v>5</v>
      </c>
      <c r="H37" s="5">
        <v>45886</v>
      </c>
      <c r="I37" s="1" t="s">
        <v>36</v>
      </c>
      <c r="J37" s="1">
        <f t="shared" si="0"/>
        <v>10</v>
      </c>
      <c r="K37" s="1" t="s">
        <v>149</v>
      </c>
      <c r="L37" s="12" t="str">
        <f t="shared" si="1"/>
        <v>31,880,035</v>
      </c>
      <c r="M37" s="10">
        <f t="shared" si="2"/>
        <v>0.44587461538461537</v>
      </c>
    </row>
    <row r="38" spans="1:13" ht="19.5" customHeight="1">
      <c r="A38" s="3">
        <v>12000000</v>
      </c>
      <c r="B38" s="4" t="s">
        <v>150</v>
      </c>
      <c r="C38" s="1" t="s">
        <v>151</v>
      </c>
      <c r="D38" s="1" t="s">
        <v>15</v>
      </c>
      <c r="E38" s="1" t="s">
        <v>152</v>
      </c>
      <c r="F38" s="1" t="s">
        <v>17</v>
      </c>
      <c r="G38" s="1">
        <v>1</v>
      </c>
      <c r="H38" s="5">
        <v>45900</v>
      </c>
      <c r="I38" s="1" t="s">
        <v>36</v>
      </c>
      <c r="J38" s="1">
        <f t="shared" si="0"/>
        <v>-4</v>
      </c>
      <c r="K38" s="1"/>
      <c r="L38" s="12">
        <f t="shared" si="1"/>
        <v>2040000.0000000002</v>
      </c>
      <c r="M38" s="10"/>
    </row>
    <row r="39" spans="1:13" ht="19.5" customHeight="1">
      <c r="A39" s="3">
        <v>4950000</v>
      </c>
      <c r="B39" s="4" t="s">
        <v>153</v>
      </c>
      <c r="C39" s="1" t="s">
        <v>154</v>
      </c>
      <c r="D39" s="1" t="s">
        <v>15</v>
      </c>
      <c r="E39" s="1" t="s">
        <v>155</v>
      </c>
      <c r="F39" s="1" t="s">
        <v>29</v>
      </c>
      <c r="G39" s="1">
        <v>2</v>
      </c>
      <c r="H39" s="5">
        <v>45888</v>
      </c>
      <c r="I39" s="1" t="s">
        <v>36</v>
      </c>
      <c r="J39" s="1">
        <f t="shared" si="0"/>
        <v>-4</v>
      </c>
      <c r="K39" s="1"/>
      <c r="L39" s="12">
        <f t="shared" si="1"/>
        <v>841500.00000000012</v>
      </c>
      <c r="M39" s="10"/>
    </row>
    <row r="40" spans="1:13" ht="19.5" customHeight="1">
      <c r="A40" s="3">
        <v>6386000</v>
      </c>
      <c r="B40" s="4" t="s">
        <v>156</v>
      </c>
      <c r="C40" s="1" t="s">
        <v>157</v>
      </c>
      <c r="D40" s="1" t="s">
        <v>33</v>
      </c>
      <c r="E40" s="1" t="s">
        <v>158</v>
      </c>
      <c r="F40" s="1" t="s">
        <v>29</v>
      </c>
      <c r="G40" s="1">
        <v>1</v>
      </c>
      <c r="H40" s="5">
        <v>45889</v>
      </c>
      <c r="I40" s="1" t="s">
        <v>36</v>
      </c>
      <c r="J40" s="1">
        <f t="shared" si="0"/>
        <v>9</v>
      </c>
      <c r="K40" s="1" t="s">
        <v>159</v>
      </c>
      <c r="L40" s="12" t="str">
        <f t="shared" si="1"/>
        <v>1,277,200</v>
      </c>
      <c r="M40" s="10">
        <f t="shared" si="2"/>
        <v>0.2</v>
      </c>
    </row>
    <row r="41" spans="1:13" ht="19.5" customHeight="1">
      <c r="A41" s="3">
        <v>16999990</v>
      </c>
      <c r="B41" s="4" t="s">
        <v>160</v>
      </c>
      <c r="C41" s="1" t="s">
        <v>131</v>
      </c>
      <c r="D41" s="1" t="s">
        <v>15</v>
      </c>
      <c r="E41" s="1" t="s">
        <v>161</v>
      </c>
      <c r="F41" s="1" t="s">
        <v>29</v>
      </c>
      <c r="G41" s="1">
        <v>2</v>
      </c>
      <c r="H41" s="5">
        <v>45902</v>
      </c>
      <c r="I41" s="1" t="s">
        <v>18</v>
      </c>
      <c r="J41" s="1">
        <f t="shared" si="0"/>
        <v>-4</v>
      </c>
      <c r="K41" s="1"/>
      <c r="L41" s="12" t="str">
        <f t="shared" si="1"/>
        <v/>
      </c>
      <c r="M41" s="10"/>
    </row>
    <row r="42" spans="1:13" ht="19.5" customHeight="1">
      <c r="A42" s="3">
        <v>29019200</v>
      </c>
      <c r="B42" s="4" t="s">
        <v>162</v>
      </c>
      <c r="C42" s="1" t="s">
        <v>163</v>
      </c>
      <c r="D42" s="1" t="s">
        <v>128</v>
      </c>
      <c r="E42" s="1" t="s">
        <v>164</v>
      </c>
      <c r="F42" s="1" t="s">
        <v>24</v>
      </c>
      <c r="G42" s="1">
        <v>5</v>
      </c>
      <c r="H42" s="5">
        <v>45867</v>
      </c>
      <c r="I42" s="1" t="s">
        <v>18</v>
      </c>
      <c r="J42" s="1">
        <f t="shared" si="0"/>
        <v>9</v>
      </c>
      <c r="K42" s="1" t="s">
        <v>165</v>
      </c>
      <c r="L42" s="12" t="str">
        <f t="shared" si="1"/>
        <v/>
      </c>
      <c r="M42" s="10"/>
    </row>
    <row r="43" spans="1:13" ht="19.5" customHeight="1">
      <c r="A43" s="3">
        <v>5300000</v>
      </c>
      <c r="B43" s="4" t="s">
        <v>166</v>
      </c>
      <c r="C43" s="1" t="s">
        <v>167</v>
      </c>
      <c r="D43" s="1" t="s">
        <v>33</v>
      </c>
      <c r="E43" s="1" t="s">
        <v>168</v>
      </c>
      <c r="F43" s="1" t="s">
        <v>17</v>
      </c>
      <c r="G43" s="1">
        <v>1</v>
      </c>
      <c r="H43" s="5">
        <v>45890</v>
      </c>
      <c r="I43" s="1" t="s">
        <v>36</v>
      </c>
      <c r="J43" s="1">
        <f t="shared" si="0"/>
        <v>7</v>
      </c>
      <c r="K43" s="1" t="s">
        <v>169</v>
      </c>
      <c r="L43" s="12" t="str">
        <f t="shared" si="1"/>
        <v>159,000</v>
      </c>
      <c r="M43" s="10">
        <f t="shared" si="2"/>
        <v>0.03</v>
      </c>
    </row>
    <row r="44" spans="1:13" ht="19.5" customHeight="1">
      <c r="A44" s="3">
        <v>32000000</v>
      </c>
      <c r="B44" s="4" t="s">
        <v>170</v>
      </c>
      <c r="C44" s="1" t="s">
        <v>14</v>
      </c>
      <c r="D44" s="1" t="s">
        <v>128</v>
      </c>
      <c r="E44" s="1" t="s">
        <v>171</v>
      </c>
      <c r="F44" s="1" t="s">
        <v>29</v>
      </c>
      <c r="G44" s="1">
        <v>2</v>
      </c>
      <c r="H44" s="5">
        <v>45900</v>
      </c>
      <c r="I44" s="1" t="s">
        <v>18</v>
      </c>
      <c r="J44" s="1">
        <f t="shared" si="0"/>
        <v>9</v>
      </c>
      <c r="K44" s="1" t="s">
        <v>172</v>
      </c>
      <c r="L44" s="12" t="str">
        <f t="shared" si="1"/>
        <v/>
      </c>
      <c r="M44" s="10"/>
    </row>
    <row r="45" spans="1:13" ht="19.5" customHeight="1">
      <c r="A45" s="3">
        <v>28000000</v>
      </c>
      <c r="B45" s="4" t="s">
        <v>173</v>
      </c>
      <c r="C45" s="1" t="s">
        <v>174</v>
      </c>
      <c r="D45" s="1" t="s">
        <v>128</v>
      </c>
      <c r="E45" s="1" t="s">
        <v>175</v>
      </c>
      <c r="F45" s="1" t="s">
        <v>24</v>
      </c>
      <c r="G45" s="1">
        <v>4</v>
      </c>
      <c r="H45" s="5">
        <v>45900</v>
      </c>
      <c r="I45" s="1" t="s">
        <v>18</v>
      </c>
      <c r="J45" s="1">
        <f t="shared" si="0"/>
        <v>-4</v>
      </c>
      <c r="K45" s="1"/>
      <c r="L45" s="12" t="str">
        <f t="shared" si="1"/>
        <v/>
      </c>
      <c r="M45" s="10"/>
    </row>
    <row r="46" spans="1:13" ht="19.5" customHeight="1">
      <c r="A46" s="3">
        <v>15790000</v>
      </c>
      <c r="B46" s="4" t="s">
        <v>176</v>
      </c>
      <c r="C46" s="1" t="s">
        <v>177</v>
      </c>
      <c r="D46" s="1" t="s">
        <v>33</v>
      </c>
      <c r="E46" s="1" t="s">
        <v>178</v>
      </c>
      <c r="F46" s="1" t="s">
        <v>29</v>
      </c>
      <c r="G46" s="1">
        <v>2</v>
      </c>
      <c r="H46" s="5">
        <v>45900</v>
      </c>
      <c r="I46" s="1" t="s">
        <v>18</v>
      </c>
      <c r="J46" s="1">
        <f t="shared" si="0"/>
        <v>9</v>
      </c>
      <c r="K46" s="1" t="s">
        <v>179</v>
      </c>
      <c r="L46" s="12" t="str">
        <f t="shared" si="1"/>
        <v/>
      </c>
      <c r="M46" s="10"/>
    </row>
    <row r="47" spans="1:13" ht="19.5" customHeight="1">
      <c r="A47" s="3">
        <v>6500000</v>
      </c>
      <c r="B47" s="4" t="s">
        <v>180</v>
      </c>
      <c r="C47" s="1" t="s">
        <v>181</v>
      </c>
      <c r="D47" s="1" t="s">
        <v>33</v>
      </c>
      <c r="E47" s="1" t="s">
        <v>182</v>
      </c>
      <c r="F47" s="1" t="s">
        <v>35</v>
      </c>
      <c r="G47" s="1">
        <v>2</v>
      </c>
      <c r="H47" s="5">
        <v>45901</v>
      </c>
      <c r="I47" s="1" t="s">
        <v>18</v>
      </c>
      <c r="J47" s="1">
        <f t="shared" si="0"/>
        <v>-4</v>
      </c>
      <c r="K47" s="1"/>
      <c r="L47" s="12" t="str">
        <f t="shared" si="1"/>
        <v/>
      </c>
      <c r="M47" s="10"/>
    </row>
    <row r="48" spans="1:13" ht="19.5" customHeight="1">
      <c r="A48" s="3">
        <v>6000000</v>
      </c>
      <c r="B48" s="4" t="s">
        <v>183</v>
      </c>
      <c r="C48" s="1" t="s">
        <v>121</v>
      </c>
      <c r="D48" s="1" t="s">
        <v>33</v>
      </c>
      <c r="E48" s="1" t="s">
        <v>184</v>
      </c>
      <c r="F48" s="1" t="s">
        <v>35</v>
      </c>
      <c r="G48" s="1">
        <v>2</v>
      </c>
      <c r="H48" s="5">
        <v>45902</v>
      </c>
      <c r="I48" s="1" t="s">
        <v>36</v>
      </c>
      <c r="J48" s="1">
        <f t="shared" si="0"/>
        <v>9</v>
      </c>
      <c r="K48" s="1" t="s">
        <v>185</v>
      </c>
      <c r="L48" s="12" t="str">
        <f t="shared" si="1"/>
        <v>2,900,000</v>
      </c>
      <c r="M48" s="10">
        <f t="shared" si="2"/>
        <v>0.48333333333333334</v>
      </c>
    </row>
    <row r="49" spans="1:13" ht="19.5" customHeight="1">
      <c r="A49" s="3">
        <v>16000000</v>
      </c>
      <c r="B49" s="4" t="s">
        <v>186</v>
      </c>
      <c r="C49" s="1" t="s">
        <v>14</v>
      </c>
      <c r="D49" s="1" t="s">
        <v>15</v>
      </c>
      <c r="E49" s="1" t="s">
        <v>187</v>
      </c>
      <c r="F49" s="1" t="s">
        <v>35</v>
      </c>
      <c r="G49" s="1">
        <v>3</v>
      </c>
      <c r="H49" s="5">
        <v>45902</v>
      </c>
      <c r="I49" s="1" t="s">
        <v>18</v>
      </c>
      <c r="J49" s="1">
        <f t="shared" si="0"/>
        <v>7</v>
      </c>
      <c r="K49" s="1" t="s">
        <v>188</v>
      </c>
      <c r="L49" s="12" t="str">
        <f t="shared" si="1"/>
        <v/>
      </c>
      <c r="M49" s="10"/>
    </row>
    <row r="50" spans="1:13" ht="19.5" customHeight="1">
      <c r="A50" s="3">
        <v>10000000</v>
      </c>
      <c r="B50" s="4" t="s">
        <v>189</v>
      </c>
      <c r="C50" s="1" t="s">
        <v>190</v>
      </c>
      <c r="D50" s="1" t="s">
        <v>15</v>
      </c>
      <c r="E50" s="1" t="s">
        <v>171</v>
      </c>
      <c r="F50" s="1" t="s">
        <v>29</v>
      </c>
      <c r="G50" s="1">
        <v>3</v>
      </c>
      <c r="H50" s="5">
        <v>45900</v>
      </c>
      <c r="I50" s="1" t="s">
        <v>36</v>
      </c>
      <c r="J50" s="1">
        <f t="shared" si="0"/>
        <v>-4</v>
      </c>
      <c r="K50" s="1"/>
      <c r="L50" s="12">
        <f t="shared" si="1"/>
        <v>1700000.0000000002</v>
      </c>
      <c r="M50" s="10"/>
    </row>
    <row r="51" spans="1:13" ht="19.5" customHeight="1">
      <c r="A51" s="3">
        <v>7600000</v>
      </c>
      <c r="B51" s="6" t="s">
        <v>191</v>
      </c>
      <c r="C51" s="1" t="s">
        <v>192</v>
      </c>
      <c r="D51" s="1" t="s">
        <v>15</v>
      </c>
      <c r="E51" s="1" t="s">
        <v>158</v>
      </c>
      <c r="F51" s="1" t="s">
        <v>29</v>
      </c>
      <c r="G51" s="1">
        <v>1</v>
      </c>
      <c r="H51" s="5">
        <v>45883</v>
      </c>
      <c r="I51" s="1" t="s">
        <v>18</v>
      </c>
      <c r="J51" s="1">
        <f t="shared" si="0"/>
        <v>7</v>
      </c>
      <c r="K51" s="1" t="s">
        <v>138</v>
      </c>
      <c r="L51" s="12" t="str">
        <f t="shared" si="1"/>
        <v/>
      </c>
      <c r="M51" s="10"/>
    </row>
    <row r="52" spans="1:13" ht="19.5" customHeight="1">
      <c r="A52" s="3">
        <v>3017400</v>
      </c>
      <c r="B52" s="4" t="s">
        <v>193</v>
      </c>
      <c r="C52" s="1" t="s">
        <v>194</v>
      </c>
      <c r="D52" s="1" t="s">
        <v>33</v>
      </c>
      <c r="E52" s="1" t="s">
        <v>195</v>
      </c>
      <c r="F52" s="1">
        <v>1</v>
      </c>
      <c r="G52" s="1">
        <v>1</v>
      </c>
      <c r="H52" s="5">
        <v>46255</v>
      </c>
      <c r="I52" s="1" t="s">
        <v>36</v>
      </c>
      <c r="J52" s="1">
        <f t="shared" si="0"/>
        <v>7</v>
      </c>
      <c r="K52" s="1" t="s">
        <v>196</v>
      </c>
      <c r="L52" s="12" t="str">
        <f t="shared" si="1"/>
        <v>452,610</v>
      </c>
      <c r="M52" s="10">
        <f t="shared" si="2"/>
        <v>0.15</v>
      </c>
    </row>
    <row r="53" spans="1:13" ht="19.5" customHeight="1">
      <c r="A53" s="3">
        <v>14000000</v>
      </c>
      <c r="B53" s="4" t="s">
        <v>197</v>
      </c>
      <c r="C53" s="1" t="s">
        <v>198</v>
      </c>
      <c r="D53" s="1" t="s">
        <v>33</v>
      </c>
      <c r="E53" s="1" t="s">
        <v>87</v>
      </c>
      <c r="F53" s="1" t="s">
        <v>35</v>
      </c>
      <c r="G53" s="1">
        <v>3</v>
      </c>
      <c r="H53" s="5">
        <v>45900</v>
      </c>
      <c r="I53" s="1" t="s">
        <v>36</v>
      </c>
      <c r="J53" s="1">
        <f t="shared" si="0"/>
        <v>1</v>
      </c>
      <c r="K53" s="1" t="s">
        <v>199</v>
      </c>
      <c r="L53" s="12" t="str">
        <f t="shared" si="1"/>
        <v>5</v>
      </c>
      <c r="M53" s="10">
        <f t="shared" si="2"/>
        <v>3.5714285714285716E-7</v>
      </c>
    </row>
    <row r="54" spans="1:13" ht="19.5" customHeight="1">
      <c r="A54" s="3">
        <v>11700000</v>
      </c>
      <c r="B54" s="4" t="s">
        <v>200</v>
      </c>
      <c r="C54" s="1" t="s">
        <v>201</v>
      </c>
      <c r="D54" s="1" t="s">
        <v>33</v>
      </c>
      <c r="E54" s="1" t="s">
        <v>202</v>
      </c>
      <c r="F54" s="1" t="s">
        <v>35</v>
      </c>
      <c r="G54" s="1">
        <v>3</v>
      </c>
      <c r="H54" s="5">
        <v>45882</v>
      </c>
      <c r="I54" s="1" t="s">
        <v>36</v>
      </c>
      <c r="J54" s="1">
        <f t="shared" si="0"/>
        <v>9</v>
      </c>
      <c r="K54" s="1" t="s">
        <v>203</v>
      </c>
      <c r="L54" s="12" t="str">
        <f t="shared" si="1"/>
        <v>3,700,000</v>
      </c>
      <c r="M54" s="10">
        <f t="shared" si="2"/>
        <v>0.31623931623931623</v>
      </c>
    </row>
    <row r="55" spans="1:13" ht="19.5" customHeight="1">
      <c r="A55" s="3">
        <v>2571750</v>
      </c>
      <c r="B55" s="4" t="s">
        <v>204</v>
      </c>
      <c r="C55" s="1" t="s">
        <v>110</v>
      </c>
      <c r="D55" s="1" t="s">
        <v>33</v>
      </c>
      <c r="E55" s="1" t="s">
        <v>205</v>
      </c>
      <c r="F55" s="1" t="s">
        <v>29</v>
      </c>
      <c r="G55" s="1">
        <v>1</v>
      </c>
      <c r="H55" s="5">
        <v>45872</v>
      </c>
      <c r="I55" s="1" t="s">
        <v>18</v>
      </c>
      <c r="J55" s="1">
        <f t="shared" si="0"/>
        <v>9</v>
      </c>
      <c r="K55" s="1" t="s">
        <v>206</v>
      </c>
      <c r="L55" s="12" t="str">
        <f t="shared" si="1"/>
        <v/>
      </c>
      <c r="M55" s="10"/>
    </row>
    <row r="56" spans="1:13" ht="19.5" customHeight="1">
      <c r="A56" s="3">
        <v>3441932</v>
      </c>
      <c r="B56" s="4" t="s">
        <v>207</v>
      </c>
      <c r="C56" s="1" t="s">
        <v>194</v>
      </c>
      <c r="D56" s="1" t="s">
        <v>15</v>
      </c>
      <c r="E56" s="1" t="s">
        <v>208</v>
      </c>
      <c r="F56" s="1">
        <v>1</v>
      </c>
      <c r="G56" s="1">
        <v>1</v>
      </c>
      <c r="H56" s="5">
        <v>45894</v>
      </c>
      <c r="I56" s="1" t="s">
        <v>18</v>
      </c>
      <c r="J56" s="1">
        <f t="shared" si="0"/>
        <v>7</v>
      </c>
      <c r="K56" s="1" t="s">
        <v>209</v>
      </c>
      <c r="L56" s="12" t="str">
        <f t="shared" si="1"/>
        <v/>
      </c>
      <c r="M56" s="10"/>
    </row>
    <row r="57" spans="1:13" ht="19.5" customHeight="1">
      <c r="A57" s="3">
        <v>730000</v>
      </c>
      <c r="B57" s="4" t="s">
        <v>210</v>
      </c>
      <c r="C57" s="1" t="s">
        <v>127</v>
      </c>
      <c r="D57" s="1" t="s">
        <v>33</v>
      </c>
      <c r="E57" s="1" t="s">
        <v>211</v>
      </c>
      <c r="F57" s="1" t="s">
        <v>29</v>
      </c>
      <c r="G57" s="1">
        <v>2</v>
      </c>
      <c r="H57" s="5">
        <v>45890</v>
      </c>
      <c r="I57" s="1" t="s">
        <v>18</v>
      </c>
      <c r="J57" s="1">
        <f t="shared" si="0"/>
        <v>-4</v>
      </c>
      <c r="K57" s="1"/>
      <c r="L57" s="12" t="str">
        <f t="shared" si="1"/>
        <v/>
      </c>
      <c r="M57" s="10"/>
    </row>
    <row r="58" spans="1:13" ht="19.5" customHeight="1">
      <c r="A58" s="3">
        <v>6230000</v>
      </c>
      <c r="B58" s="4" t="s">
        <v>212</v>
      </c>
      <c r="C58" s="1" t="s">
        <v>127</v>
      </c>
      <c r="D58" s="1" t="s">
        <v>49</v>
      </c>
      <c r="E58" s="1" t="s">
        <v>213</v>
      </c>
      <c r="F58" s="1" t="s">
        <v>29</v>
      </c>
      <c r="G58" s="1">
        <v>3</v>
      </c>
      <c r="H58" s="5">
        <v>45889</v>
      </c>
      <c r="I58" s="1" t="s">
        <v>36</v>
      </c>
      <c r="J58" s="1">
        <f t="shared" si="0"/>
        <v>9</v>
      </c>
      <c r="K58" s="1" t="s">
        <v>214</v>
      </c>
      <c r="L58" s="12" t="str">
        <f t="shared" si="1"/>
        <v>1,380,000</v>
      </c>
      <c r="M58" s="10">
        <f t="shared" si="2"/>
        <v>0.22150882825040127</v>
      </c>
    </row>
    <row r="59" spans="1:13" ht="19.5" customHeight="1">
      <c r="A59" s="3">
        <v>27000000</v>
      </c>
      <c r="B59" s="4" t="s">
        <v>215</v>
      </c>
      <c r="C59" s="1" t="s">
        <v>216</v>
      </c>
      <c r="D59" s="1" t="s">
        <v>49</v>
      </c>
      <c r="E59" s="1" t="s">
        <v>217</v>
      </c>
      <c r="F59" s="1" t="s">
        <v>24</v>
      </c>
      <c r="G59" s="1">
        <v>4</v>
      </c>
      <c r="H59" s="5">
        <v>45900</v>
      </c>
      <c r="I59" s="1" t="s">
        <v>36</v>
      </c>
      <c r="J59" s="1">
        <f t="shared" si="0"/>
        <v>7</v>
      </c>
      <c r="K59" s="1" t="s">
        <v>135</v>
      </c>
      <c r="L59" s="12" t="str">
        <f t="shared" si="1"/>
        <v>500,000</v>
      </c>
      <c r="M59" s="10">
        <f t="shared" si="2"/>
        <v>1.8518518518518517E-2</v>
      </c>
    </row>
    <row r="60" spans="1:13" ht="19.5" customHeight="1">
      <c r="A60" s="3">
        <v>14815000</v>
      </c>
      <c r="B60" s="4" t="s">
        <v>218</v>
      </c>
      <c r="C60" s="1" t="s">
        <v>219</v>
      </c>
      <c r="D60" s="1" t="s">
        <v>128</v>
      </c>
      <c r="E60" s="1" t="s">
        <v>171</v>
      </c>
      <c r="F60" s="1" t="s">
        <v>35</v>
      </c>
      <c r="G60" s="1">
        <v>2</v>
      </c>
      <c r="H60" s="5">
        <v>45901</v>
      </c>
      <c r="I60" s="1" t="s">
        <v>18</v>
      </c>
      <c r="J60" s="1">
        <f t="shared" si="0"/>
        <v>7</v>
      </c>
      <c r="K60" s="1" t="s">
        <v>220</v>
      </c>
      <c r="L60" s="12" t="str">
        <f t="shared" si="1"/>
        <v/>
      </c>
      <c r="M60" s="10"/>
    </row>
    <row r="61" spans="1:13" ht="19.5" customHeight="1">
      <c r="A61" s="3">
        <v>14000000</v>
      </c>
      <c r="B61" s="4" t="s">
        <v>221</v>
      </c>
      <c r="C61" s="1" t="s">
        <v>222</v>
      </c>
      <c r="D61" s="1" t="s">
        <v>33</v>
      </c>
      <c r="E61" s="1" t="s">
        <v>223</v>
      </c>
      <c r="F61" s="1" t="s">
        <v>17</v>
      </c>
      <c r="G61" s="1">
        <v>1</v>
      </c>
      <c r="H61" s="5">
        <v>45902</v>
      </c>
      <c r="I61" s="1" t="s">
        <v>36</v>
      </c>
      <c r="J61" s="1">
        <f t="shared" si="0"/>
        <v>9</v>
      </c>
      <c r="K61" s="1" t="s">
        <v>25</v>
      </c>
      <c r="L61" s="12" t="str">
        <f t="shared" si="1"/>
        <v>2,100,000</v>
      </c>
      <c r="M61" s="10">
        <f t="shared" si="2"/>
        <v>0.15</v>
      </c>
    </row>
    <row r="62" spans="1:13" ht="19.5" customHeight="1">
      <c r="A62" s="3">
        <v>3000000</v>
      </c>
      <c r="B62" s="4" t="s">
        <v>224</v>
      </c>
      <c r="C62" s="1" t="s">
        <v>44</v>
      </c>
      <c r="D62" s="1" t="s">
        <v>15</v>
      </c>
      <c r="E62" s="1" t="s">
        <v>225</v>
      </c>
      <c r="F62" s="1" t="s">
        <v>17</v>
      </c>
      <c r="G62" s="1">
        <v>1</v>
      </c>
      <c r="H62" s="5">
        <v>45902</v>
      </c>
      <c r="I62" s="1" t="s">
        <v>36</v>
      </c>
      <c r="J62" s="1">
        <f t="shared" si="0"/>
        <v>7</v>
      </c>
      <c r="K62" s="1" t="s">
        <v>226</v>
      </c>
      <c r="L62" s="12" t="str">
        <f t="shared" si="1"/>
        <v>300,000</v>
      </c>
      <c r="M62" s="10">
        <f t="shared" si="2"/>
        <v>0.1</v>
      </c>
    </row>
    <row r="63" spans="1:13" ht="19.5" customHeight="1">
      <c r="A63" s="3">
        <v>4184000</v>
      </c>
      <c r="B63" s="4" t="s">
        <v>227</v>
      </c>
      <c r="C63" s="1" t="s">
        <v>228</v>
      </c>
      <c r="D63" s="1" t="s">
        <v>33</v>
      </c>
      <c r="E63" s="1" t="s">
        <v>34</v>
      </c>
      <c r="F63" s="1" t="s">
        <v>35</v>
      </c>
      <c r="G63" s="1">
        <v>3</v>
      </c>
      <c r="H63" s="5">
        <v>45901</v>
      </c>
      <c r="I63" s="1" t="s">
        <v>36</v>
      </c>
      <c r="J63" s="1">
        <f t="shared" si="0"/>
        <v>9</v>
      </c>
      <c r="K63" s="1" t="s">
        <v>229</v>
      </c>
      <c r="L63" s="12" t="str">
        <f t="shared" si="1"/>
        <v>1,000,000</v>
      </c>
      <c r="M63" s="10">
        <f t="shared" si="2"/>
        <v>0.23900573613766729</v>
      </c>
    </row>
    <row r="64" spans="1:13" ht="19.5" customHeight="1">
      <c r="A64" s="3">
        <v>4100000</v>
      </c>
      <c r="B64" s="4" t="s">
        <v>230</v>
      </c>
      <c r="C64" s="1" t="s">
        <v>231</v>
      </c>
      <c r="D64" s="1" t="s">
        <v>33</v>
      </c>
      <c r="E64" s="1" t="s">
        <v>232</v>
      </c>
      <c r="F64" s="1" t="s">
        <v>35</v>
      </c>
      <c r="G64" s="1">
        <v>4</v>
      </c>
      <c r="H64" s="5">
        <v>45899</v>
      </c>
      <c r="I64" s="1" t="s">
        <v>18</v>
      </c>
      <c r="J64" s="1">
        <f t="shared" si="0"/>
        <v>-4</v>
      </c>
      <c r="K64" s="1"/>
      <c r="L64" s="12" t="str">
        <f t="shared" si="1"/>
        <v/>
      </c>
      <c r="M64" s="10"/>
    </row>
    <row r="65" spans="1:13" ht="19.5" customHeight="1">
      <c r="A65" s="3">
        <v>13000000</v>
      </c>
      <c r="B65" s="4" t="s">
        <v>233</v>
      </c>
      <c r="C65" s="1" t="s">
        <v>67</v>
      </c>
      <c r="D65" s="1" t="s">
        <v>15</v>
      </c>
      <c r="E65" s="1" t="s">
        <v>184</v>
      </c>
      <c r="F65" s="1" t="s">
        <v>29</v>
      </c>
      <c r="G65" s="1">
        <v>2</v>
      </c>
      <c r="H65" s="5">
        <v>45901</v>
      </c>
      <c r="I65" s="1" t="s">
        <v>18</v>
      </c>
      <c r="J65" s="1">
        <f t="shared" si="0"/>
        <v>-4</v>
      </c>
      <c r="K65" s="1"/>
      <c r="L65" s="12" t="str">
        <f t="shared" si="1"/>
        <v/>
      </c>
      <c r="M65" s="10"/>
    </row>
    <row r="66" spans="1:13" ht="19.5" customHeight="1">
      <c r="A66" s="3">
        <v>39200000</v>
      </c>
      <c r="B66" s="4" t="s">
        <v>234</v>
      </c>
      <c r="C66" s="1" t="s">
        <v>235</v>
      </c>
      <c r="D66" s="1" t="s">
        <v>22</v>
      </c>
      <c r="E66" s="1" t="s">
        <v>236</v>
      </c>
      <c r="F66" s="1" t="s">
        <v>24</v>
      </c>
      <c r="G66" s="1">
        <v>4</v>
      </c>
      <c r="H66" s="5">
        <v>45902</v>
      </c>
      <c r="I66" s="1" t="s">
        <v>36</v>
      </c>
      <c r="J66" s="1">
        <f t="shared" si="0"/>
        <v>1</v>
      </c>
      <c r="K66" s="1" t="s">
        <v>237</v>
      </c>
      <c r="L66" s="12" t="str">
        <f t="shared" si="1"/>
        <v>1</v>
      </c>
      <c r="M66" s="10">
        <f t="shared" si="2"/>
        <v>2.5510204081632652E-8</v>
      </c>
    </row>
    <row r="67" spans="1:13" ht="19.5" customHeight="1">
      <c r="A67" s="3">
        <v>14500000</v>
      </c>
      <c r="B67" s="4" t="s">
        <v>238</v>
      </c>
      <c r="C67" s="1" t="s">
        <v>239</v>
      </c>
      <c r="D67" s="1" t="s">
        <v>15</v>
      </c>
      <c r="E67" s="1" t="s">
        <v>71</v>
      </c>
      <c r="F67" s="1" t="s">
        <v>29</v>
      </c>
      <c r="G67" s="1">
        <v>3</v>
      </c>
      <c r="H67" s="5">
        <v>45900</v>
      </c>
      <c r="I67" s="1" t="s">
        <v>36</v>
      </c>
      <c r="J67" s="1">
        <f t="shared" ref="J67:J130" si="3">LEN(K67)-4</f>
        <v>-4</v>
      </c>
      <c r="K67" s="1"/>
      <c r="L67" s="12">
        <f t="shared" ref="L67:L130" si="4">IFERROR(IF(I67="Installments",LEFT(K67,J67),""),A67*0.17)</f>
        <v>2465000</v>
      </c>
      <c r="M67" s="10"/>
    </row>
    <row r="68" spans="1:13" ht="19.5" customHeight="1">
      <c r="A68" s="3">
        <v>6235000</v>
      </c>
      <c r="B68" s="6" t="s">
        <v>240</v>
      </c>
      <c r="C68" s="1" t="s">
        <v>241</v>
      </c>
      <c r="D68" s="1" t="s">
        <v>33</v>
      </c>
      <c r="E68" s="1" t="s">
        <v>178</v>
      </c>
      <c r="F68" s="1" t="s">
        <v>35</v>
      </c>
      <c r="G68" s="1">
        <v>2</v>
      </c>
      <c r="H68" s="5">
        <v>45876</v>
      </c>
      <c r="I68" s="1" t="s">
        <v>36</v>
      </c>
      <c r="J68" s="1">
        <f t="shared" si="3"/>
        <v>9</v>
      </c>
      <c r="K68" s="1" t="s">
        <v>242</v>
      </c>
      <c r="L68" s="12" t="str">
        <f t="shared" si="4"/>
        <v>2,800,000</v>
      </c>
      <c r="M68" s="10">
        <f t="shared" ref="M68:M130" si="5">L68/A68</f>
        <v>0.44907778668805132</v>
      </c>
    </row>
    <row r="69" spans="1:13" ht="19.5" customHeight="1">
      <c r="A69" s="3">
        <v>30000000</v>
      </c>
      <c r="B69" s="4" t="s">
        <v>243</v>
      </c>
      <c r="C69" s="1" t="s">
        <v>131</v>
      </c>
      <c r="D69" s="1" t="s">
        <v>22</v>
      </c>
      <c r="E69" s="1" t="s">
        <v>244</v>
      </c>
      <c r="F69" s="1" t="s">
        <v>35</v>
      </c>
      <c r="G69" s="1">
        <v>3</v>
      </c>
      <c r="H69" s="5">
        <v>45901</v>
      </c>
      <c r="I69" s="1" t="s">
        <v>18</v>
      </c>
      <c r="J69" s="1">
        <f t="shared" si="3"/>
        <v>-4</v>
      </c>
      <c r="K69" s="1"/>
      <c r="L69" s="12" t="str">
        <f t="shared" si="4"/>
        <v/>
      </c>
      <c r="M69" s="10"/>
    </row>
    <row r="70" spans="1:13" ht="19.5" customHeight="1">
      <c r="A70" s="3">
        <v>19900000</v>
      </c>
      <c r="B70" s="4" t="s">
        <v>245</v>
      </c>
      <c r="C70" s="1" t="s">
        <v>239</v>
      </c>
      <c r="D70" s="1" t="s">
        <v>15</v>
      </c>
      <c r="E70" s="1" t="s">
        <v>246</v>
      </c>
      <c r="F70" s="1" t="s">
        <v>29</v>
      </c>
      <c r="G70" s="1">
        <v>2</v>
      </c>
      <c r="H70" s="5">
        <v>45900</v>
      </c>
      <c r="I70" s="1" t="s">
        <v>36</v>
      </c>
      <c r="J70" s="1">
        <f t="shared" si="3"/>
        <v>-4</v>
      </c>
      <c r="K70" s="1"/>
      <c r="L70" s="12">
        <f t="shared" si="4"/>
        <v>3383000.0000000005</v>
      </c>
      <c r="M70" s="10"/>
    </row>
    <row r="71" spans="1:13" ht="19.5" customHeight="1">
      <c r="A71" s="3">
        <v>14400000</v>
      </c>
      <c r="B71" s="6" t="s">
        <v>247</v>
      </c>
      <c r="C71" s="1" t="s">
        <v>248</v>
      </c>
      <c r="D71" s="1" t="s">
        <v>15</v>
      </c>
      <c r="E71" s="1" t="s">
        <v>249</v>
      </c>
      <c r="F71" s="1" t="s">
        <v>35</v>
      </c>
      <c r="G71" s="1">
        <v>3</v>
      </c>
      <c r="H71" s="5">
        <v>45887</v>
      </c>
      <c r="I71" s="1" t="s">
        <v>18</v>
      </c>
      <c r="J71" s="1">
        <f t="shared" si="3"/>
        <v>9</v>
      </c>
      <c r="K71" s="1" t="s">
        <v>250</v>
      </c>
      <c r="L71" s="12" t="str">
        <f t="shared" si="4"/>
        <v/>
      </c>
      <c r="M71" s="10"/>
    </row>
    <row r="72" spans="1:13" ht="19.5" customHeight="1">
      <c r="A72" s="3">
        <v>600000</v>
      </c>
      <c r="B72" s="4" t="s">
        <v>251</v>
      </c>
      <c r="C72" s="1" t="s">
        <v>252</v>
      </c>
      <c r="D72" s="1" t="s">
        <v>33</v>
      </c>
      <c r="E72" s="1" t="s">
        <v>171</v>
      </c>
      <c r="F72" s="1" t="s">
        <v>29</v>
      </c>
      <c r="G72" s="1">
        <v>2</v>
      </c>
      <c r="H72" s="5">
        <v>45896</v>
      </c>
      <c r="I72" s="1" t="s">
        <v>18</v>
      </c>
      <c r="J72" s="1">
        <f t="shared" si="3"/>
        <v>-4</v>
      </c>
      <c r="K72" s="1"/>
      <c r="L72" s="12" t="str">
        <f t="shared" si="4"/>
        <v/>
      </c>
      <c r="M72" s="10"/>
    </row>
    <row r="73" spans="1:13" ht="19.5" customHeight="1">
      <c r="A73" s="3">
        <v>15500000</v>
      </c>
      <c r="B73" s="4" t="s">
        <v>253</v>
      </c>
      <c r="C73" s="1" t="s">
        <v>27</v>
      </c>
      <c r="D73" s="1" t="s">
        <v>15</v>
      </c>
      <c r="E73" s="1" t="s">
        <v>254</v>
      </c>
      <c r="F73" s="1" t="s">
        <v>29</v>
      </c>
      <c r="G73" s="1">
        <v>2</v>
      </c>
      <c r="H73" s="5">
        <v>45900</v>
      </c>
      <c r="I73" s="1" t="s">
        <v>36</v>
      </c>
      <c r="J73" s="1">
        <f t="shared" si="3"/>
        <v>-4</v>
      </c>
      <c r="K73" s="1"/>
      <c r="L73" s="12">
        <f t="shared" si="4"/>
        <v>2635000</v>
      </c>
      <c r="M73" s="10"/>
    </row>
    <row r="74" spans="1:13" ht="19.5" customHeight="1">
      <c r="A74" s="3">
        <v>3800000</v>
      </c>
      <c r="B74" s="4" t="s">
        <v>255</v>
      </c>
      <c r="C74" s="1" t="s">
        <v>256</v>
      </c>
      <c r="D74" s="1" t="s">
        <v>15</v>
      </c>
      <c r="E74" s="1" t="s">
        <v>257</v>
      </c>
      <c r="F74" s="1" t="s">
        <v>17</v>
      </c>
      <c r="G74" s="1">
        <v>1</v>
      </c>
      <c r="H74" s="5">
        <v>45897</v>
      </c>
      <c r="I74" s="1" t="s">
        <v>36</v>
      </c>
      <c r="J74" s="1">
        <f t="shared" si="3"/>
        <v>-4</v>
      </c>
      <c r="K74" s="1"/>
      <c r="L74" s="12">
        <f t="shared" si="4"/>
        <v>646000</v>
      </c>
      <c r="M74" s="10"/>
    </row>
    <row r="75" spans="1:13" ht="19.5" customHeight="1">
      <c r="A75" s="3">
        <v>26000000</v>
      </c>
      <c r="B75" s="4" t="s">
        <v>258</v>
      </c>
      <c r="C75" s="1" t="s">
        <v>59</v>
      </c>
      <c r="D75" s="1" t="s">
        <v>128</v>
      </c>
      <c r="E75" s="1" t="s">
        <v>259</v>
      </c>
      <c r="F75" s="1" t="s">
        <v>24</v>
      </c>
      <c r="G75" s="1">
        <v>5</v>
      </c>
      <c r="H75" s="5">
        <v>45902</v>
      </c>
      <c r="I75" s="1" t="s">
        <v>18</v>
      </c>
      <c r="J75" s="1">
        <f t="shared" si="3"/>
        <v>-4</v>
      </c>
      <c r="K75" s="1"/>
      <c r="L75" s="12" t="str">
        <f t="shared" si="4"/>
        <v/>
      </c>
      <c r="M75" s="10"/>
    </row>
    <row r="76" spans="1:13" ht="19.5" customHeight="1">
      <c r="A76" s="3">
        <v>2750000</v>
      </c>
      <c r="B76" s="4" t="s">
        <v>260</v>
      </c>
      <c r="C76" s="1" t="s">
        <v>261</v>
      </c>
      <c r="D76" s="1" t="s">
        <v>33</v>
      </c>
      <c r="E76" s="1" t="s">
        <v>262</v>
      </c>
      <c r="F76" s="1" t="s">
        <v>35</v>
      </c>
      <c r="G76" s="1">
        <v>3</v>
      </c>
      <c r="H76" s="5">
        <v>45869</v>
      </c>
      <c r="I76" s="1" t="s">
        <v>36</v>
      </c>
      <c r="J76" s="1">
        <f t="shared" si="3"/>
        <v>-4</v>
      </c>
      <c r="K76" s="1"/>
      <c r="L76" s="12">
        <f t="shared" si="4"/>
        <v>467500.00000000006</v>
      </c>
      <c r="M76" s="10"/>
    </row>
    <row r="77" spans="1:13" ht="19.5" customHeight="1">
      <c r="A77" s="3">
        <v>6650000</v>
      </c>
      <c r="B77" s="4" t="s">
        <v>263</v>
      </c>
      <c r="C77" s="1" t="s">
        <v>264</v>
      </c>
      <c r="D77" s="1" t="s">
        <v>33</v>
      </c>
      <c r="E77" s="1" t="s">
        <v>129</v>
      </c>
      <c r="F77" s="1" t="s">
        <v>35</v>
      </c>
      <c r="G77" s="1">
        <v>3</v>
      </c>
      <c r="H77" s="5">
        <v>45845</v>
      </c>
      <c r="I77" s="1" t="s">
        <v>36</v>
      </c>
      <c r="J77" s="1">
        <f t="shared" si="3"/>
        <v>-4</v>
      </c>
      <c r="K77" s="1"/>
      <c r="L77" s="12">
        <f t="shared" si="4"/>
        <v>1130500</v>
      </c>
      <c r="M77" s="10"/>
    </row>
    <row r="78" spans="1:13" ht="19.5" customHeight="1">
      <c r="A78" s="3">
        <v>1814400</v>
      </c>
      <c r="B78" s="4" t="s">
        <v>265</v>
      </c>
      <c r="C78" s="1" t="s">
        <v>110</v>
      </c>
      <c r="D78" s="1" t="s">
        <v>33</v>
      </c>
      <c r="E78" s="1" t="s">
        <v>225</v>
      </c>
      <c r="F78" s="1">
        <v>1</v>
      </c>
      <c r="G78" s="1">
        <v>1</v>
      </c>
      <c r="H78" s="5">
        <v>45902</v>
      </c>
      <c r="I78" s="1" t="s">
        <v>18</v>
      </c>
      <c r="J78" s="1">
        <f t="shared" si="3"/>
        <v>7</v>
      </c>
      <c r="K78" s="1" t="s">
        <v>266</v>
      </c>
      <c r="L78" s="12" t="str">
        <f t="shared" si="4"/>
        <v/>
      </c>
      <c r="M78" s="10"/>
    </row>
    <row r="79" spans="1:13" ht="19.5" customHeight="1">
      <c r="A79" s="3">
        <v>5182000</v>
      </c>
      <c r="B79" s="4" t="s">
        <v>267</v>
      </c>
      <c r="C79" s="1" t="s">
        <v>268</v>
      </c>
      <c r="D79" s="1" t="s">
        <v>33</v>
      </c>
      <c r="E79" s="1" t="s">
        <v>161</v>
      </c>
      <c r="F79" s="1" t="s">
        <v>35</v>
      </c>
      <c r="G79" s="1">
        <v>2</v>
      </c>
      <c r="H79" s="5">
        <v>45901</v>
      </c>
      <c r="I79" s="1" t="s">
        <v>36</v>
      </c>
      <c r="J79" s="1">
        <f t="shared" si="3"/>
        <v>7</v>
      </c>
      <c r="K79" s="1" t="s">
        <v>269</v>
      </c>
      <c r="L79" s="12" t="str">
        <f t="shared" si="4"/>
        <v>259,100</v>
      </c>
      <c r="M79" s="10">
        <f t="shared" si="5"/>
        <v>0.05</v>
      </c>
    </row>
    <row r="80" spans="1:13" ht="19.5" customHeight="1">
      <c r="A80" s="3">
        <v>5288197</v>
      </c>
      <c r="B80" s="4" t="s">
        <v>270</v>
      </c>
      <c r="C80" s="1" t="s">
        <v>271</v>
      </c>
      <c r="D80" s="1" t="s">
        <v>33</v>
      </c>
      <c r="E80" s="1" t="s">
        <v>272</v>
      </c>
      <c r="F80" s="1" t="s">
        <v>17</v>
      </c>
      <c r="G80" s="1">
        <v>1</v>
      </c>
      <c r="H80" s="5">
        <v>45901</v>
      </c>
      <c r="I80" s="1" t="s">
        <v>18</v>
      </c>
      <c r="J80" s="1">
        <f t="shared" si="3"/>
        <v>-4</v>
      </c>
      <c r="K80" s="1"/>
      <c r="L80" s="12" t="str">
        <f t="shared" si="4"/>
        <v/>
      </c>
      <c r="M80" s="10"/>
    </row>
    <row r="81" spans="1:13" ht="19.5" customHeight="1">
      <c r="A81" s="3">
        <v>13200000</v>
      </c>
      <c r="B81" s="4" t="s">
        <v>273</v>
      </c>
      <c r="C81" s="1" t="s">
        <v>274</v>
      </c>
      <c r="D81" s="1" t="s">
        <v>15</v>
      </c>
      <c r="E81" s="1" t="s">
        <v>275</v>
      </c>
      <c r="F81" s="1" t="s">
        <v>35</v>
      </c>
      <c r="G81" s="1">
        <v>3</v>
      </c>
      <c r="H81" s="5">
        <v>45901</v>
      </c>
      <c r="I81" s="1" t="s">
        <v>18</v>
      </c>
      <c r="J81" s="1">
        <f t="shared" si="3"/>
        <v>7</v>
      </c>
      <c r="K81" s="1" t="s">
        <v>276</v>
      </c>
      <c r="L81" s="12" t="str">
        <f t="shared" si="4"/>
        <v/>
      </c>
      <c r="M81" s="10"/>
    </row>
    <row r="82" spans="1:13" ht="19.5" customHeight="1">
      <c r="A82" s="3">
        <v>7800000</v>
      </c>
      <c r="B82" s="4" t="s">
        <v>277</v>
      </c>
      <c r="C82" s="1" t="s">
        <v>278</v>
      </c>
      <c r="D82" s="1" t="s">
        <v>22</v>
      </c>
      <c r="E82" s="1" t="s">
        <v>101</v>
      </c>
      <c r="F82" s="1" t="s">
        <v>35</v>
      </c>
      <c r="G82" s="1">
        <v>3</v>
      </c>
      <c r="H82" s="5">
        <v>45901</v>
      </c>
      <c r="I82" s="1" t="s">
        <v>36</v>
      </c>
      <c r="J82" s="1">
        <f t="shared" si="3"/>
        <v>-4</v>
      </c>
      <c r="K82" s="1"/>
      <c r="L82" s="12">
        <f t="shared" si="4"/>
        <v>1326000</v>
      </c>
      <c r="M82" s="10"/>
    </row>
    <row r="83" spans="1:13" ht="19.5" customHeight="1">
      <c r="A83" s="3">
        <v>7000000</v>
      </c>
      <c r="B83" s="4" t="s">
        <v>279</v>
      </c>
      <c r="C83" s="1" t="s">
        <v>280</v>
      </c>
      <c r="D83" s="1" t="s">
        <v>33</v>
      </c>
      <c r="E83" s="1" t="s">
        <v>281</v>
      </c>
      <c r="F83" s="1" t="s">
        <v>35</v>
      </c>
      <c r="G83" s="1">
        <v>3</v>
      </c>
      <c r="H83" s="5">
        <v>45861</v>
      </c>
      <c r="I83" s="1" t="s">
        <v>18</v>
      </c>
      <c r="J83" s="1">
        <f t="shared" si="3"/>
        <v>-4</v>
      </c>
      <c r="K83" s="1"/>
      <c r="L83" s="12" t="str">
        <f t="shared" si="4"/>
        <v/>
      </c>
      <c r="M83" s="10"/>
    </row>
    <row r="84" spans="1:13" ht="19.5" customHeight="1">
      <c r="A84" s="3">
        <v>18000000</v>
      </c>
      <c r="B84" s="4" t="s">
        <v>282</v>
      </c>
      <c r="C84" s="1" t="s">
        <v>283</v>
      </c>
      <c r="D84" s="1" t="s">
        <v>60</v>
      </c>
      <c r="E84" s="1" t="s">
        <v>284</v>
      </c>
      <c r="F84" s="1" t="s">
        <v>35</v>
      </c>
      <c r="G84" s="1">
        <v>3</v>
      </c>
      <c r="H84" s="5">
        <v>45902</v>
      </c>
      <c r="I84" s="1" t="s">
        <v>36</v>
      </c>
      <c r="J84" s="1">
        <f t="shared" si="3"/>
        <v>-4</v>
      </c>
      <c r="K84" s="1"/>
      <c r="L84" s="12">
        <f t="shared" si="4"/>
        <v>3060000</v>
      </c>
      <c r="M84" s="10"/>
    </row>
    <row r="85" spans="1:13" ht="19.5" customHeight="1">
      <c r="A85" s="3">
        <v>60000000</v>
      </c>
      <c r="B85" s="7" t="s">
        <v>285</v>
      </c>
      <c r="C85" s="1" t="s">
        <v>286</v>
      </c>
      <c r="D85" s="1" t="s">
        <v>22</v>
      </c>
      <c r="E85" s="1" t="s">
        <v>287</v>
      </c>
      <c r="F85" s="1" t="s">
        <v>24</v>
      </c>
      <c r="G85" s="1">
        <v>4</v>
      </c>
      <c r="H85" s="5">
        <v>45894</v>
      </c>
      <c r="I85" s="1" t="s">
        <v>18</v>
      </c>
      <c r="J85" s="1">
        <f t="shared" si="3"/>
        <v>9</v>
      </c>
      <c r="K85" s="1" t="s">
        <v>288</v>
      </c>
      <c r="L85" s="12" t="str">
        <f t="shared" si="4"/>
        <v/>
      </c>
      <c r="M85" s="10"/>
    </row>
    <row r="86" spans="1:13" ht="19.5" customHeight="1">
      <c r="A86" s="3">
        <v>21500000</v>
      </c>
      <c r="B86" s="4" t="s">
        <v>289</v>
      </c>
      <c r="C86" s="1" t="s">
        <v>290</v>
      </c>
      <c r="D86" s="1" t="s">
        <v>22</v>
      </c>
      <c r="E86" s="1" t="s">
        <v>291</v>
      </c>
      <c r="F86" s="1" t="s">
        <v>29</v>
      </c>
      <c r="G86" s="1">
        <v>2</v>
      </c>
      <c r="H86" s="5">
        <v>45902</v>
      </c>
      <c r="I86" s="1" t="s">
        <v>36</v>
      </c>
      <c r="J86" s="1">
        <f t="shared" si="3"/>
        <v>9</v>
      </c>
      <c r="K86" s="1" t="s">
        <v>292</v>
      </c>
      <c r="L86" s="12" t="str">
        <f t="shared" si="4"/>
        <v>1,075,000</v>
      </c>
      <c r="M86" s="10">
        <f t="shared" si="5"/>
        <v>0.05</v>
      </c>
    </row>
    <row r="87" spans="1:13" ht="19.5" customHeight="1">
      <c r="A87" s="3">
        <v>60000000</v>
      </c>
      <c r="B87" s="4" t="s">
        <v>293</v>
      </c>
      <c r="C87" s="1" t="s">
        <v>239</v>
      </c>
      <c r="D87" s="1" t="s">
        <v>22</v>
      </c>
      <c r="E87" s="1" t="s">
        <v>294</v>
      </c>
      <c r="F87" s="1" t="s">
        <v>54</v>
      </c>
      <c r="G87" s="1">
        <v>5</v>
      </c>
      <c r="H87" s="5">
        <v>45900</v>
      </c>
      <c r="I87" s="1" t="s">
        <v>18</v>
      </c>
      <c r="J87" s="1">
        <f t="shared" si="3"/>
        <v>9</v>
      </c>
      <c r="K87" s="1" t="s">
        <v>288</v>
      </c>
      <c r="L87" s="12" t="str">
        <f t="shared" si="4"/>
        <v/>
      </c>
      <c r="M87" s="10"/>
    </row>
    <row r="88" spans="1:13" ht="19.5" customHeight="1">
      <c r="A88" s="3">
        <v>8000000</v>
      </c>
      <c r="B88" s="4" t="s">
        <v>295</v>
      </c>
      <c r="C88" s="1" t="s">
        <v>296</v>
      </c>
      <c r="D88" s="1" t="s">
        <v>33</v>
      </c>
      <c r="E88" s="1" t="s">
        <v>297</v>
      </c>
      <c r="F88" s="1" t="s">
        <v>35</v>
      </c>
      <c r="G88" s="1">
        <v>3</v>
      </c>
      <c r="H88" s="5">
        <v>45890</v>
      </c>
      <c r="I88" s="1" t="s">
        <v>36</v>
      </c>
      <c r="J88" s="1">
        <f t="shared" si="3"/>
        <v>9</v>
      </c>
      <c r="K88" s="1" t="s">
        <v>116</v>
      </c>
      <c r="L88" s="12" t="str">
        <f t="shared" si="4"/>
        <v>4,000,000</v>
      </c>
      <c r="M88" s="10">
        <f t="shared" si="5"/>
        <v>0.5</v>
      </c>
    </row>
    <row r="89" spans="1:13" ht="19.5" customHeight="1">
      <c r="A89" s="3">
        <v>55000000</v>
      </c>
      <c r="B89" s="4" t="s">
        <v>298</v>
      </c>
      <c r="C89" s="1" t="s">
        <v>299</v>
      </c>
      <c r="D89" s="1" t="s">
        <v>22</v>
      </c>
      <c r="E89" s="1" t="s">
        <v>300</v>
      </c>
      <c r="F89" s="1" t="s">
        <v>54</v>
      </c>
      <c r="G89" s="1">
        <v>5</v>
      </c>
      <c r="H89" s="5">
        <v>45901</v>
      </c>
      <c r="I89" s="1" t="s">
        <v>36</v>
      </c>
      <c r="J89" s="1">
        <f t="shared" si="3"/>
        <v>-4</v>
      </c>
      <c r="K89" s="1"/>
      <c r="L89" s="12">
        <f t="shared" si="4"/>
        <v>9350000</v>
      </c>
      <c r="M89" s="10"/>
    </row>
    <row r="90" spans="1:13" ht="19.5" customHeight="1">
      <c r="A90" s="3">
        <v>8000000</v>
      </c>
      <c r="B90" s="4" t="s">
        <v>301</v>
      </c>
      <c r="C90" s="1" t="s">
        <v>302</v>
      </c>
      <c r="D90" s="1" t="s">
        <v>22</v>
      </c>
      <c r="E90" s="1" t="s">
        <v>303</v>
      </c>
      <c r="F90" s="1" t="s">
        <v>24</v>
      </c>
      <c r="G90" s="1">
        <v>5</v>
      </c>
      <c r="H90" s="5">
        <v>45900</v>
      </c>
      <c r="I90" s="1" t="s">
        <v>18</v>
      </c>
      <c r="J90" s="1">
        <f t="shared" si="3"/>
        <v>-4</v>
      </c>
      <c r="K90" s="1"/>
      <c r="L90" s="12" t="str">
        <f t="shared" si="4"/>
        <v/>
      </c>
      <c r="M90" s="10"/>
    </row>
    <row r="91" spans="1:13" ht="19.5" customHeight="1">
      <c r="A91" s="3">
        <v>16000000</v>
      </c>
      <c r="B91" s="4" t="s">
        <v>304</v>
      </c>
      <c r="C91" s="1" t="s">
        <v>107</v>
      </c>
      <c r="D91" s="1" t="s">
        <v>128</v>
      </c>
      <c r="E91" s="1" t="s">
        <v>118</v>
      </c>
      <c r="F91" s="1" t="s">
        <v>24</v>
      </c>
      <c r="G91" s="1">
        <v>4</v>
      </c>
      <c r="H91" s="5">
        <v>45902</v>
      </c>
      <c r="I91" s="1" t="s">
        <v>36</v>
      </c>
      <c r="J91" s="1">
        <f t="shared" si="3"/>
        <v>-4</v>
      </c>
      <c r="K91" s="1"/>
      <c r="L91" s="12">
        <f t="shared" si="4"/>
        <v>2720000</v>
      </c>
      <c r="M91" s="10"/>
    </row>
    <row r="92" spans="1:13" ht="19.5" customHeight="1">
      <c r="A92" s="3">
        <v>16000000</v>
      </c>
      <c r="B92" s="4" t="s">
        <v>305</v>
      </c>
      <c r="C92" s="1" t="s">
        <v>32</v>
      </c>
      <c r="D92" s="1" t="s">
        <v>128</v>
      </c>
      <c r="E92" s="1" t="s">
        <v>306</v>
      </c>
      <c r="F92" s="1" t="s">
        <v>35</v>
      </c>
      <c r="G92" s="1">
        <v>3</v>
      </c>
      <c r="H92" s="5">
        <v>45901</v>
      </c>
      <c r="I92" s="1" t="s">
        <v>18</v>
      </c>
      <c r="J92" s="1">
        <f t="shared" si="3"/>
        <v>-4</v>
      </c>
      <c r="K92" s="1"/>
      <c r="L92" s="12" t="str">
        <f t="shared" si="4"/>
        <v/>
      </c>
      <c r="M92" s="10"/>
    </row>
    <row r="93" spans="1:13" ht="19.5" customHeight="1">
      <c r="A93" s="3">
        <v>6000000</v>
      </c>
      <c r="B93" s="4" t="s">
        <v>307</v>
      </c>
      <c r="C93" s="1" t="s">
        <v>127</v>
      </c>
      <c r="D93" s="1" t="s">
        <v>33</v>
      </c>
      <c r="E93" s="1" t="s">
        <v>61</v>
      </c>
      <c r="F93" s="1" t="s">
        <v>35</v>
      </c>
      <c r="G93" s="1">
        <v>4</v>
      </c>
      <c r="H93" s="5">
        <v>45888</v>
      </c>
      <c r="I93" s="1" t="s">
        <v>36</v>
      </c>
      <c r="J93" s="1">
        <f t="shared" si="3"/>
        <v>-4</v>
      </c>
      <c r="K93" s="1"/>
      <c r="L93" s="12">
        <f t="shared" si="4"/>
        <v>1020000.0000000001</v>
      </c>
      <c r="M93" s="10"/>
    </row>
    <row r="94" spans="1:13" ht="19.5" customHeight="1">
      <c r="A94" s="3">
        <v>10000000</v>
      </c>
      <c r="B94" s="4" t="s">
        <v>308</v>
      </c>
      <c r="C94" s="1" t="s">
        <v>309</v>
      </c>
      <c r="D94" s="1" t="s">
        <v>15</v>
      </c>
      <c r="E94" s="1" t="s">
        <v>310</v>
      </c>
      <c r="F94" s="1" t="s">
        <v>17</v>
      </c>
      <c r="G94" s="1">
        <v>2</v>
      </c>
      <c r="H94" s="5">
        <v>45882</v>
      </c>
      <c r="I94" s="1" t="s">
        <v>18</v>
      </c>
      <c r="J94" s="1">
        <f t="shared" si="3"/>
        <v>-4</v>
      </c>
      <c r="K94" s="1"/>
      <c r="L94" s="12" t="str">
        <f t="shared" si="4"/>
        <v/>
      </c>
      <c r="M94" s="10"/>
    </row>
    <row r="95" spans="1:13" ht="19.5" customHeight="1">
      <c r="A95" s="3">
        <v>19300000</v>
      </c>
      <c r="B95" s="4" t="s">
        <v>311</v>
      </c>
      <c r="C95" s="1" t="s">
        <v>312</v>
      </c>
      <c r="D95" s="1" t="s">
        <v>49</v>
      </c>
      <c r="E95" s="1" t="s">
        <v>313</v>
      </c>
      <c r="F95" s="1" t="s">
        <v>35</v>
      </c>
      <c r="G95" s="1">
        <v>3</v>
      </c>
      <c r="H95" s="5">
        <v>45897</v>
      </c>
      <c r="I95" s="1" t="s">
        <v>36</v>
      </c>
      <c r="J95" s="1">
        <f t="shared" si="3"/>
        <v>7</v>
      </c>
      <c r="K95" s="1" t="s">
        <v>314</v>
      </c>
      <c r="L95" s="12" t="str">
        <f t="shared" si="4"/>
        <v>965,000</v>
      </c>
      <c r="M95" s="10">
        <f t="shared" si="5"/>
        <v>0.05</v>
      </c>
    </row>
    <row r="96" spans="1:13" ht="19.5" customHeight="1">
      <c r="A96" s="3">
        <v>4000000</v>
      </c>
      <c r="B96" s="4" t="s">
        <v>315</v>
      </c>
      <c r="C96" s="1" t="s">
        <v>32</v>
      </c>
      <c r="D96" s="1" t="s">
        <v>33</v>
      </c>
      <c r="E96" s="1" t="s">
        <v>71</v>
      </c>
      <c r="F96" s="1" t="s">
        <v>35</v>
      </c>
      <c r="G96" s="1">
        <v>2</v>
      </c>
      <c r="H96" s="5">
        <v>45854</v>
      </c>
      <c r="I96" s="1" t="s">
        <v>18</v>
      </c>
      <c r="J96" s="1">
        <f t="shared" si="3"/>
        <v>9</v>
      </c>
      <c r="K96" s="1" t="s">
        <v>229</v>
      </c>
      <c r="L96" s="12" t="str">
        <f t="shared" si="4"/>
        <v/>
      </c>
      <c r="M96" s="10"/>
    </row>
    <row r="97" spans="1:13" ht="19.5" customHeight="1">
      <c r="A97" s="3">
        <v>7000000</v>
      </c>
      <c r="B97" s="4" t="s">
        <v>316</v>
      </c>
      <c r="C97" s="1" t="s">
        <v>256</v>
      </c>
      <c r="D97" s="1" t="s">
        <v>15</v>
      </c>
      <c r="E97" s="1" t="s">
        <v>317</v>
      </c>
      <c r="F97" s="1" t="s">
        <v>35</v>
      </c>
      <c r="G97" s="1">
        <v>3</v>
      </c>
      <c r="H97" s="5">
        <v>45854</v>
      </c>
      <c r="I97" s="1" t="s">
        <v>36</v>
      </c>
      <c r="J97" s="1">
        <f t="shared" si="3"/>
        <v>-4</v>
      </c>
      <c r="K97" s="1"/>
      <c r="L97" s="12">
        <f t="shared" si="4"/>
        <v>1190000</v>
      </c>
      <c r="M97" s="10"/>
    </row>
    <row r="98" spans="1:13" ht="19.5" customHeight="1">
      <c r="A98" s="3">
        <v>3000000</v>
      </c>
      <c r="B98" s="4" t="s">
        <v>318</v>
      </c>
      <c r="C98" s="1" t="s">
        <v>114</v>
      </c>
      <c r="D98" s="1" t="s">
        <v>33</v>
      </c>
      <c r="E98" s="1" t="s">
        <v>319</v>
      </c>
      <c r="F98" s="1" t="s">
        <v>35</v>
      </c>
      <c r="G98" s="1">
        <v>2</v>
      </c>
      <c r="H98" s="5">
        <v>45879</v>
      </c>
      <c r="I98" s="1" t="s">
        <v>36</v>
      </c>
      <c r="J98" s="1">
        <f t="shared" si="3"/>
        <v>-4</v>
      </c>
      <c r="K98" s="1"/>
      <c r="L98" s="12">
        <f t="shared" si="4"/>
        <v>510000.00000000006</v>
      </c>
      <c r="M98" s="10"/>
    </row>
    <row r="99" spans="1:13" ht="19.5" customHeight="1">
      <c r="A99" s="3">
        <v>2900000</v>
      </c>
      <c r="B99" s="4" t="s">
        <v>320</v>
      </c>
      <c r="C99" s="1" t="s">
        <v>321</v>
      </c>
      <c r="D99" s="1" t="s">
        <v>33</v>
      </c>
      <c r="E99" s="1" t="s">
        <v>322</v>
      </c>
      <c r="F99" s="1">
        <v>1</v>
      </c>
      <c r="G99" s="1">
        <v>1</v>
      </c>
      <c r="H99" s="5">
        <v>45880</v>
      </c>
      <c r="I99" s="1" t="s">
        <v>36</v>
      </c>
      <c r="J99" s="1">
        <f t="shared" si="3"/>
        <v>9</v>
      </c>
      <c r="K99" s="1" t="s">
        <v>323</v>
      </c>
      <c r="L99" s="12" t="str">
        <f t="shared" si="4"/>
        <v>1,100,000</v>
      </c>
      <c r="M99" s="10">
        <f t="shared" si="5"/>
        <v>0.37931034482758619</v>
      </c>
    </row>
    <row r="100" spans="1:13" ht="19.5" customHeight="1">
      <c r="A100" s="3">
        <v>6200000</v>
      </c>
      <c r="B100" s="4" t="s">
        <v>324</v>
      </c>
      <c r="C100" s="1" t="s">
        <v>325</v>
      </c>
      <c r="D100" s="1" t="s">
        <v>15</v>
      </c>
      <c r="E100" s="1" t="s">
        <v>104</v>
      </c>
      <c r="F100" s="1" t="s">
        <v>29</v>
      </c>
      <c r="G100" s="1">
        <v>2</v>
      </c>
      <c r="H100" s="5">
        <v>45895</v>
      </c>
      <c r="I100" s="1" t="s">
        <v>18</v>
      </c>
      <c r="J100" s="1">
        <f t="shared" si="3"/>
        <v>-4</v>
      </c>
      <c r="K100" s="1"/>
      <c r="L100" s="12" t="str">
        <f t="shared" si="4"/>
        <v/>
      </c>
      <c r="M100" s="10"/>
    </row>
    <row r="101" spans="1:13" ht="19.5" customHeight="1">
      <c r="A101" s="3">
        <v>4500000</v>
      </c>
      <c r="B101" s="4" t="s">
        <v>326</v>
      </c>
      <c r="C101" s="1" t="s">
        <v>48</v>
      </c>
      <c r="D101" s="1" t="s">
        <v>33</v>
      </c>
      <c r="E101" s="1" t="s">
        <v>327</v>
      </c>
      <c r="F101" s="1" t="s">
        <v>35</v>
      </c>
      <c r="G101" s="1">
        <v>3</v>
      </c>
      <c r="H101" s="5">
        <v>45900</v>
      </c>
      <c r="I101" s="1" t="s">
        <v>18</v>
      </c>
      <c r="J101" s="1">
        <f t="shared" si="3"/>
        <v>-4</v>
      </c>
      <c r="K101" s="1"/>
      <c r="L101" s="12" t="str">
        <f t="shared" si="4"/>
        <v/>
      </c>
      <c r="M101" s="10"/>
    </row>
    <row r="102" spans="1:13" ht="19.5" customHeight="1">
      <c r="A102" s="3">
        <v>16400000</v>
      </c>
      <c r="B102" s="4" t="s">
        <v>328</v>
      </c>
      <c r="C102" s="1" t="s">
        <v>329</v>
      </c>
      <c r="D102" s="1" t="s">
        <v>128</v>
      </c>
      <c r="E102" s="1" t="s">
        <v>330</v>
      </c>
      <c r="F102" s="1" t="s">
        <v>35</v>
      </c>
      <c r="G102" s="1">
        <v>3</v>
      </c>
      <c r="H102" s="5">
        <v>45902</v>
      </c>
      <c r="I102" s="1" t="s">
        <v>18</v>
      </c>
      <c r="J102" s="1">
        <f t="shared" si="3"/>
        <v>7</v>
      </c>
      <c r="K102" s="1" t="s">
        <v>331</v>
      </c>
      <c r="L102" s="12" t="str">
        <f t="shared" si="4"/>
        <v/>
      </c>
      <c r="M102" s="10"/>
    </row>
    <row r="103" spans="1:13" ht="19.5" customHeight="1">
      <c r="A103" s="3">
        <v>25650000</v>
      </c>
      <c r="B103" s="4" t="s">
        <v>332</v>
      </c>
      <c r="C103" s="1" t="s">
        <v>278</v>
      </c>
      <c r="D103" s="1" t="s">
        <v>128</v>
      </c>
      <c r="E103" s="1" t="s">
        <v>101</v>
      </c>
      <c r="F103" s="1" t="s">
        <v>35</v>
      </c>
      <c r="G103" s="1">
        <v>3</v>
      </c>
      <c r="H103" s="5">
        <v>45887</v>
      </c>
      <c r="I103" s="1" t="s">
        <v>18</v>
      </c>
      <c r="J103" s="1">
        <f t="shared" si="3"/>
        <v>-4</v>
      </c>
      <c r="K103" s="1"/>
      <c r="L103" s="12" t="str">
        <f t="shared" si="4"/>
        <v/>
      </c>
      <c r="M103" s="10"/>
    </row>
    <row r="104" spans="1:13" ht="19.5" customHeight="1">
      <c r="A104" s="3">
        <v>43000000</v>
      </c>
      <c r="B104" s="4" t="s">
        <v>333</v>
      </c>
      <c r="C104" s="1" t="s">
        <v>334</v>
      </c>
      <c r="D104" s="1" t="s">
        <v>22</v>
      </c>
      <c r="E104" s="1" t="s">
        <v>335</v>
      </c>
      <c r="F104" s="1" t="s">
        <v>35</v>
      </c>
      <c r="G104" s="1">
        <v>4</v>
      </c>
      <c r="H104" s="5">
        <v>45902</v>
      </c>
      <c r="I104" s="1" t="s">
        <v>36</v>
      </c>
      <c r="J104" s="1">
        <f t="shared" si="3"/>
        <v>1</v>
      </c>
      <c r="K104" s="1" t="s">
        <v>199</v>
      </c>
      <c r="L104" s="12" t="str">
        <f t="shared" si="4"/>
        <v>5</v>
      </c>
      <c r="M104" s="10">
        <f t="shared" si="5"/>
        <v>1.1627906976744186E-7</v>
      </c>
    </row>
    <row r="105" spans="1:13" ht="19.5" customHeight="1">
      <c r="A105" s="3">
        <v>27315000</v>
      </c>
      <c r="B105" s="4" t="s">
        <v>336</v>
      </c>
      <c r="C105" s="1" t="s">
        <v>321</v>
      </c>
      <c r="D105" s="1" t="s">
        <v>128</v>
      </c>
      <c r="E105" s="1" t="s">
        <v>337</v>
      </c>
      <c r="F105" s="1" t="s">
        <v>35</v>
      </c>
      <c r="G105" s="1">
        <v>3</v>
      </c>
      <c r="H105" s="5">
        <v>45902</v>
      </c>
      <c r="I105" s="1" t="s">
        <v>18</v>
      </c>
      <c r="J105" s="1">
        <f t="shared" si="3"/>
        <v>9</v>
      </c>
      <c r="K105" s="1" t="s">
        <v>338</v>
      </c>
      <c r="L105" s="12" t="str">
        <f t="shared" si="4"/>
        <v/>
      </c>
      <c r="M105" s="10"/>
    </row>
    <row r="106" spans="1:13" ht="19.5" customHeight="1">
      <c r="A106" s="3">
        <v>12000000</v>
      </c>
      <c r="B106" s="4" t="s">
        <v>339</v>
      </c>
      <c r="C106" s="1" t="s">
        <v>340</v>
      </c>
      <c r="D106" s="1" t="s">
        <v>15</v>
      </c>
      <c r="E106" s="1" t="s">
        <v>341</v>
      </c>
      <c r="F106" s="1" t="s">
        <v>29</v>
      </c>
      <c r="G106" s="1">
        <v>2</v>
      </c>
      <c r="H106" s="5">
        <v>45901</v>
      </c>
      <c r="I106" s="1" t="s">
        <v>18</v>
      </c>
      <c r="J106" s="1">
        <f t="shared" si="3"/>
        <v>7</v>
      </c>
      <c r="K106" s="1" t="s">
        <v>342</v>
      </c>
      <c r="L106" s="12" t="str">
        <f t="shared" si="4"/>
        <v/>
      </c>
      <c r="M106" s="10"/>
    </row>
    <row r="107" spans="1:13" ht="19.5" customHeight="1">
      <c r="A107" s="3">
        <v>15689250</v>
      </c>
      <c r="B107" s="4" t="s">
        <v>343</v>
      </c>
      <c r="C107" s="1" t="s">
        <v>177</v>
      </c>
      <c r="D107" s="1" t="s">
        <v>33</v>
      </c>
      <c r="E107" s="1" t="s">
        <v>344</v>
      </c>
      <c r="F107" s="1" t="s">
        <v>35</v>
      </c>
      <c r="G107" s="1">
        <v>3</v>
      </c>
      <c r="H107" s="5">
        <v>45873</v>
      </c>
      <c r="I107" s="1" t="s">
        <v>36</v>
      </c>
      <c r="J107" s="1">
        <f t="shared" si="3"/>
        <v>9</v>
      </c>
      <c r="K107" s="1" t="s">
        <v>345</v>
      </c>
      <c r="L107" s="12" t="str">
        <f t="shared" si="4"/>
        <v>5,241,650</v>
      </c>
      <c r="M107" s="10">
        <f t="shared" si="5"/>
        <v>0.33409181445894481</v>
      </c>
    </row>
    <row r="108" spans="1:13" ht="19.5" customHeight="1">
      <c r="A108" s="3">
        <v>8000000</v>
      </c>
      <c r="B108" s="4" t="s">
        <v>346</v>
      </c>
      <c r="C108" s="1" t="s">
        <v>347</v>
      </c>
      <c r="D108" s="1" t="s">
        <v>15</v>
      </c>
      <c r="E108" s="1" t="s">
        <v>171</v>
      </c>
      <c r="F108" s="1" t="s">
        <v>35</v>
      </c>
      <c r="G108" s="1">
        <v>3</v>
      </c>
      <c r="H108" s="5">
        <v>45902</v>
      </c>
      <c r="I108" s="1" t="s">
        <v>36</v>
      </c>
      <c r="J108" s="1">
        <f t="shared" si="3"/>
        <v>-4</v>
      </c>
      <c r="K108" s="1"/>
      <c r="L108" s="12">
        <f t="shared" si="4"/>
        <v>1360000</v>
      </c>
      <c r="M108" s="10"/>
    </row>
    <row r="109" spans="1:13" ht="19.5" customHeight="1">
      <c r="A109" s="3">
        <v>6549828</v>
      </c>
      <c r="B109" s="6" t="s">
        <v>348</v>
      </c>
      <c r="C109" s="1" t="s">
        <v>349</v>
      </c>
      <c r="D109" s="1" t="s">
        <v>33</v>
      </c>
      <c r="E109" s="1" t="s">
        <v>350</v>
      </c>
      <c r="F109" s="1" t="s">
        <v>29</v>
      </c>
      <c r="G109" s="1">
        <v>2</v>
      </c>
      <c r="H109" s="5">
        <v>45890</v>
      </c>
      <c r="I109" s="1" t="s">
        <v>18</v>
      </c>
      <c r="J109" s="1">
        <f t="shared" si="3"/>
        <v>7</v>
      </c>
      <c r="K109" s="1" t="s">
        <v>351</v>
      </c>
      <c r="L109" s="12" t="str">
        <f t="shared" si="4"/>
        <v/>
      </c>
      <c r="M109" s="10"/>
    </row>
    <row r="110" spans="1:13" ht="19.5" customHeight="1">
      <c r="A110" s="3">
        <v>3123009</v>
      </c>
      <c r="B110" s="4" t="s">
        <v>352</v>
      </c>
      <c r="C110" s="1" t="s">
        <v>353</v>
      </c>
      <c r="D110" s="1" t="s">
        <v>33</v>
      </c>
      <c r="E110" s="1" t="s">
        <v>195</v>
      </c>
      <c r="F110" s="1">
        <v>1</v>
      </c>
      <c r="G110" s="1">
        <v>1</v>
      </c>
      <c r="H110" s="5">
        <v>45848</v>
      </c>
      <c r="I110" s="1" t="s">
        <v>18</v>
      </c>
      <c r="J110" s="1">
        <f t="shared" si="3"/>
        <v>7</v>
      </c>
      <c r="K110" s="1" t="s">
        <v>354</v>
      </c>
      <c r="L110" s="12" t="str">
        <f t="shared" si="4"/>
        <v/>
      </c>
      <c r="M110" s="10"/>
    </row>
    <row r="111" spans="1:13" ht="19.5" customHeight="1">
      <c r="A111" s="3">
        <v>28000000</v>
      </c>
      <c r="B111" s="4" t="s">
        <v>355</v>
      </c>
      <c r="C111" s="1" t="s">
        <v>356</v>
      </c>
      <c r="D111" s="1" t="s">
        <v>15</v>
      </c>
      <c r="E111" s="1" t="s">
        <v>357</v>
      </c>
      <c r="F111" s="1" t="s">
        <v>35</v>
      </c>
      <c r="G111" s="1">
        <v>2</v>
      </c>
      <c r="H111" s="5">
        <v>45902</v>
      </c>
      <c r="I111" s="1" t="s">
        <v>18</v>
      </c>
      <c r="J111" s="1">
        <f t="shared" si="3"/>
        <v>2</v>
      </c>
      <c r="K111" s="1" t="s">
        <v>358</v>
      </c>
      <c r="L111" s="12" t="str">
        <f t="shared" si="4"/>
        <v/>
      </c>
      <c r="M111" s="10"/>
    </row>
    <row r="112" spans="1:13" ht="19.5" customHeight="1">
      <c r="A112" s="3">
        <v>8000000</v>
      </c>
      <c r="B112" s="4" t="s">
        <v>359</v>
      </c>
      <c r="C112" s="1" t="s">
        <v>360</v>
      </c>
      <c r="D112" s="1" t="s">
        <v>15</v>
      </c>
      <c r="E112" s="1" t="s">
        <v>341</v>
      </c>
      <c r="F112" s="1" t="s">
        <v>29</v>
      </c>
      <c r="G112" s="1">
        <v>2</v>
      </c>
      <c r="H112" s="5">
        <v>45902</v>
      </c>
      <c r="I112" s="1" t="s">
        <v>36</v>
      </c>
      <c r="J112" s="1">
        <f t="shared" si="3"/>
        <v>7</v>
      </c>
      <c r="K112" s="1" t="s">
        <v>361</v>
      </c>
      <c r="L112" s="12" t="str">
        <f t="shared" si="4"/>
        <v>400,000</v>
      </c>
      <c r="M112" s="10">
        <f t="shared" si="5"/>
        <v>0.05</v>
      </c>
    </row>
    <row r="113" spans="1:13" ht="19.5" customHeight="1">
      <c r="A113" s="3">
        <v>10280000</v>
      </c>
      <c r="B113" s="4" t="s">
        <v>362</v>
      </c>
      <c r="C113" s="1" t="s">
        <v>363</v>
      </c>
      <c r="D113" s="1" t="s">
        <v>33</v>
      </c>
      <c r="E113" s="1" t="s">
        <v>111</v>
      </c>
      <c r="F113" s="1" t="s">
        <v>17</v>
      </c>
      <c r="G113" s="1">
        <v>2</v>
      </c>
      <c r="H113" s="5">
        <v>45900</v>
      </c>
      <c r="I113" s="1" t="s">
        <v>36</v>
      </c>
      <c r="J113" s="1">
        <f t="shared" si="3"/>
        <v>1</v>
      </c>
      <c r="K113" s="1" t="s">
        <v>199</v>
      </c>
      <c r="L113" s="12" t="str">
        <f t="shared" si="4"/>
        <v>5</v>
      </c>
      <c r="M113" s="10">
        <f t="shared" si="5"/>
        <v>4.8638132295719839E-7</v>
      </c>
    </row>
    <row r="114" spans="1:13" ht="19.5" customHeight="1">
      <c r="A114" s="3">
        <v>23000000</v>
      </c>
      <c r="B114" s="4" t="s">
        <v>364</v>
      </c>
      <c r="C114" s="1" t="s">
        <v>239</v>
      </c>
      <c r="D114" s="1" t="s">
        <v>57</v>
      </c>
      <c r="E114" s="1" t="s">
        <v>40</v>
      </c>
      <c r="F114" s="1" t="s">
        <v>24</v>
      </c>
      <c r="G114" s="1">
        <v>4</v>
      </c>
      <c r="H114" s="5">
        <v>45902</v>
      </c>
      <c r="I114" s="1" t="s">
        <v>18</v>
      </c>
      <c r="J114" s="1">
        <f t="shared" si="3"/>
        <v>7</v>
      </c>
      <c r="K114" s="1" t="s">
        <v>94</v>
      </c>
      <c r="L114" s="12" t="str">
        <f t="shared" si="4"/>
        <v/>
      </c>
      <c r="M114" s="10"/>
    </row>
    <row r="115" spans="1:13" ht="19.5" customHeight="1">
      <c r="A115" s="3">
        <v>11685000</v>
      </c>
      <c r="B115" s="4" t="s">
        <v>365</v>
      </c>
      <c r="C115" s="1" t="s">
        <v>366</v>
      </c>
      <c r="D115" s="1" t="s">
        <v>33</v>
      </c>
      <c r="E115" s="1" t="s">
        <v>45</v>
      </c>
      <c r="F115" s="1" t="s">
        <v>29</v>
      </c>
      <c r="G115" s="1">
        <v>3</v>
      </c>
      <c r="H115" s="5">
        <v>45902</v>
      </c>
      <c r="I115" s="1" t="s">
        <v>18</v>
      </c>
      <c r="J115" s="1">
        <f t="shared" si="3"/>
        <v>9</v>
      </c>
      <c r="K115" s="1" t="s">
        <v>367</v>
      </c>
      <c r="L115" s="12" t="str">
        <f t="shared" si="4"/>
        <v/>
      </c>
      <c r="M115" s="10"/>
    </row>
    <row r="116" spans="1:13" ht="19.5" customHeight="1">
      <c r="A116" s="3">
        <v>13273408</v>
      </c>
      <c r="B116" s="4" t="s">
        <v>368</v>
      </c>
      <c r="C116" s="1" t="s">
        <v>299</v>
      </c>
      <c r="D116" s="1" t="s">
        <v>33</v>
      </c>
      <c r="E116" s="1" t="s">
        <v>369</v>
      </c>
      <c r="F116" s="1" t="s">
        <v>17</v>
      </c>
      <c r="G116" s="1">
        <v>1</v>
      </c>
      <c r="H116" s="5">
        <v>45901</v>
      </c>
      <c r="I116" s="1" t="s">
        <v>36</v>
      </c>
      <c r="J116" s="1">
        <f t="shared" si="3"/>
        <v>7</v>
      </c>
      <c r="K116" s="1" t="s">
        <v>370</v>
      </c>
      <c r="L116" s="12" t="str">
        <f t="shared" si="4"/>
        <v>663,670</v>
      </c>
      <c r="M116" s="10">
        <f t="shared" si="5"/>
        <v>4.9999969864559277E-2</v>
      </c>
    </row>
    <row r="117" spans="1:13" ht="19.5" customHeight="1">
      <c r="A117" s="3">
        <v>16300000</v>
      </c>
      <c r="B117" s="4" t="s">
        <v>371</v>
      </c>
      <c r="C117" s="1" t="s">
        <v>216</v>
      </c>
      <c r="D117" s="1" t="s">
        <v>15</v>
      </c>
      <c r="E117" s="1" t="s">
        <v>306</v>
      </c>
      <c r="F117" s="1" t="s">
        <v>35</v>
      </c>
      <c r="G117" s="1">
        <v>3</v>
      </c>
      <c r="H117" s="5">
        <v>45899</v>
      </c>
      <c r="I117" s="1" t="s">
        <v>18</v>
      </c>
      <c r="J117" s="1">
        <f t="shared" si="3"/>
        <v>7</v>
      </c>
      <c r="K117" s="1" t="s">
        <v>94</v>
      </c>
      <c r="L117" s="12" t="str">
        <f t="shared" si="4"/>
        <v/>
      </c>
      <c r="M117" s="10"/>
    </row>
    <row r="118" spans="1:13" ht="19.5" customHeight="1">
      <c r="A118" s="3">
        <v>977648</v>
      </c>
      <c r="B118" s="4" t="s">
        <v>372</v>
      </c>
      <c r="C118" s="1" t="s">
        <v>373</v>
      </c>
      <c r="D118" s="1" t="s">
        <v>33</v>
      </c>
      <c r="E118" s="1" t="s">
        <v>374</v>
      </c>
      <c r="F118" s="1">
        <v>1</v>
      </c>
      <c r="G118" s="1">
        <v>1</v>
      </c>
      <c r="H118" s="5">
        <v>45889</v>
      </c>
      <c r="I118" s="1" t="s">
        <v>36</v>
      </c>
      <c r="J118" s="1">
        <f t="shared" si="3"/>
        <v>-4</v>
      </c>
      <c r="K118" s="1"/>
      <c r="L118" s="12">
        <f t="shared" si="4"/>
        <v>166200.16</v>
      </c>
      <c r="M118" s="10"/>
    </row>
    <row r="119" spans="1:13" ht="19.5" customHeight="1">
      <c r="A119" s="3">
        <v>3157000</v>
      </c>
      <c r="B119" s="4" t="s">
        <v>375</v>
      </c>
      <c r="C119" s="1" t="s">
        <v>376</v>
      </c>
      <c r="D119" s="1" t="s">
        <v>33</v>
      </c>
      <c r="E119" s="1" t="s">
        <v>208</v>
      </c>
      <c r="F119" s="1">
        <v>1</v>
      </c>
      <c r="G119" s="1">
        <v>1</v>
      </c>
      <c r="H119" s="5">
        <v>45897</v>
      </c>
      <c r="I119" s="1" t="s">
        <v>18</v>
      </c>
      <c r="J119" s="1">
        <f t="shared" si="3"/>
        <v>9</v>
      </c>
      <c r="K119" s="1" t="s">
        <v>377</v>
      </c>
      <c r="L119" s="12" t="str">
        <f t="shared" si="4"/>
        <v/>
      </c>
      <c r="M119" s="10"/>
    </row>
    <row r="120" spans="1:13" ht="19.5" customHeight="1">
      <c r="A120" s="3">
        <v>950000</v>
      </c>
      <c r="B120" s="4" t="s">
        <v>378</v>
      </c>
      <c r="C120" s="1" t="s">
        <v>151</v>
      </c>
      <c r="D120" s="1" t="s">
        <v>22</v>
      </c>
      <c r="E120" s="1" t="s">
        <v>71</v>
      </c>
      <c r="F120" s="1" t="s">
        <v>35</v>
      </c>
      <c r="G120" s="1">
        <v>3</v>
      </c>
      <c r="H120" s="5">
        <v>45879</v>
      </c>
      <c r="I120" s="1" t="s">
        <v>18</v>
      </c>
      <c r="J120" s="1">
        <f t="shared" si="3"/>
        <v>-4</v>
      </c>
      <c r="K120" s="1"/>
      <c r="L120" s="12" t="str">
        <f t="shared" si="4"/>
        <v/>
      </c>
      <c r="M120" s="10"/>
    </row>
    <row r="121" spans="1:13" ht="19.5" customHeight="1">
      <c r="A121" s="3">
        <v>30000000</v>
      </c>
      <c r="B121" s="4" t="s">
        <v>379</v>
      </c>
      <c r="C121" s="1" t="s">
        <v>27</v>
      </c>
      <c r="D121" s="1" t="s">
        <v>57</v>
      </c>
      <c r="E121" s="1" t="s">
        <v>380</v>
      </c>
      <c r="F121" s="1" t="s">
        <v>35</v>
      </c>
      <c r="G121" s="1">
        <v>4</v>
      </c>
      <c r="H121" s="5">
        <v>45900</v>
      </c>
      <c r="I121" s="1" t="s">
        <v>18</v>
      </c>
      <c r="J121" s="1">
        <f t="shared" si="3"/>
        <v>-4</v>
      </c>
      <c r="K121" s="1"/>
      <c r="L121" s="12" t="str">
        <f t="shared" si="4"/>
        <v/>
      </c>
      <c r="M121" s="10"/>
    </row>
    <row r="122" spans="1:13" ht="19.5" customHeight="1">
      <c r="A122" s="3">
        <v>19000000</v>
      </c>
      <c r="B122" s="4" t="s">
        <v>381</v>
      </c>
      <c r="C122" s="1" t="s">
        <v>222</v>
      </c>
      <c r="D122" s="1" t="s">
        <v>15</v>
      </c>
      <c r="E122" s="1" t="s">
        <v>382</v>
      </c>
      <c r="F122" s="1" t="s">
        <v>29</v>
      </c>
      <c r="G122" s="1">
        <v>3</v>
      </c>
      <c r="H122" s="5">
        <v>45896</v>
      </c>
      <c r="I122" s="1" t="s">
        <v>18</v>
      </c>
      <c r="J122" s="1">
        <f t="shared" si="3"/>
        <v>9</v>
      </c>
      <c r="K122" s="1" t="s">
        <v>383</v>
      </c>
      <c r="L122" s="12" t="str">
        <f t="shared" si="4"/>
        <v/>
      </c>
      <c r="M122" s="10"/>
    </row>
    <row r="123" spans="1:13" ht="19.5" customHeight="1">
      <c r="A123" s="3">
        <v>14490000</v>
      </c>
      <c r="B123" s="4" t="s">
        <v>384</v>
      </c>
      <c r="C123" s="1" t="s">
        <v>385</v>
      </c>
      <c r="D123" s="1" t="s">
        <v>15</v>
      </c>
      <c r="E123" s="1" t="s">
        <v>386</v>
      </c>
      <c r="F123" s="1" t="s">
        <v>29</v>
      </c>
      <c r="G123" s="1">
        <v>1</v>
      </c>
      <c r="H123" s="5">
        <v>45804</v>
      </c>
      <c r="I123" s="1" t="s">
        <v>18</v>
      </c>
      <c r="J123" s="1">
        <f t="shared" si="3"/>
        <v>9</v>
      </c>
      <c r="K123" s="1" t="s">
        <v>387</v>
      </c>
      <c r="L123" s="12" t="str">
        <f t="shared" si="4"/>
        <v/>
      </c>
      <c r="M123" s="10"/>
    </row>
    <row r="124" spans="1:13" ht="19.5" customHeight="1">
      <c r="A124" s="3">
        <v>6000000</v>
      </c>
      <c r="B124" s="4" t="s">
        <v>388</v>
      </c>
      <c r="C124" s="1" t="s">
        <v>321</v>
      </c>
      <c r="D124" s="1" t="s">
        <v>33</v>
      </c>
      <c r="E124" s="1" t="s">
        <v>389</v>
      </c>
      <c r="F124" s="1" t="s">
        <v>35</v>
      </c>
      <c r="G124" s="1">
        <v>2</v>
      </c>
      <c r="H124" s="5">
        <v>45890</v>
      </c>
      <c r="I124" s="1" t="s">
        <v>36</v>
      </c>
      <c r="J124" s="1">
        <f t="shared" si="3"/>
        <v>9</v>
      </c>
      <c r="K124" s="1" t="s">
        <v>390</v>
      </c>
      <c r="L124" s="12" t="str">
        <f t="shared" si="4"/>
        <v>1,550,000</v>
      </c>
      <c r="M124" s="10">
        <f t="shared" si="5"/>
        <v>0.25833333333333336</v>
      </c>
    </row>
    <row r="125" spans="1:13" ht="19.5" customHeight="1">
      <c r="A125" s="3">
        <v>10700000</v>
      </c>
      <c r="B125" s="4" t="s">
        <v>391</v>
      </c>
      <c r="C125" s="1" t="s">
        <v>392</v>
      </c>
      <c r="D125" s="1" t="s">
        <v>15</v>
      </c>
      <c r="E125" s="1" t="s">
        <v>208</v>
      </c>
      <c r="F125" s="1" t="s">
        <v>17</v>
      </c>
      <c r="G125" s="1">
        <v>1</v>
      </c>
      <c r="H125" s="5">
        <v>45901</v>
      </c>
      <c r="I125" s="1" t="s">
        <v>36</v>
      </c>
      <c r="J125" s="1">
        <f t="shared" si="3"/>
        <v>-4</v>
      </c>
      <c r="K125" s="1"/>
      <c r="L125" s="12">
        <f t="shared" si="4"/>
        <v>1819000.0000000002</v>
      </c>
      <c r="M125" s="10"/>
    </row>
    <row r="126" spans="1:13" ht="19.5" customHeight="1">
      <c r="A126" s="3">
        <v>14000000</v>
      </c>
      <c r="B126" s="4" t="s">
        <v>393</v>
      </c>
      <c r="C126" s="1" t="s">
        <v>394</v>
      </c>
      <c r="D126" s="1" t="s">
        <v>33</v>
      </c>
      <c r="E126" s="1" t="s">
        <v>184</v>
      </c>
      <c r="F126" s="1" t="s">
        <v>29</v>
      </c>
      <c r="G126" s="1">
        <v>2</v>
      </c>
      <c r="H126" s="5">
        <v>45900</v>
      </c>
      <c r="I126" s="1" t="s">
        <v>18</v>
      </c>
      <c r="J126" s="1">
        <f t="shared" si="3"/>
        <v>7</v>
      </c>
      <c r="K126" s="1" t="s">
        <v>395</v>
      </c>
      <c r="L126" s="12" t="str">
        <f t="shared" si="4"/>
        <v/>
      </c>
      <c r="M126" s="10"/>
    </row>
    <row r="127" spans="1:13" ht="19.5" customHeight="1">
      <c r="A127" s="3">
        <v>40000000</v>
      </c>
      <c r="B127" s="4" t="s">
        <v>396</v>
      </c>
      <c r="C127" s="1" t="s">
        <v>163</v>
      </c>
      <c r="D127" s="1" t="s">
        <v>22</v>
      </c>
      <c r="E127" s="1" t="s">
        <v>397</v>
      </c>
      <c r="F127" s="1" t="s">
        <v>398</v>
      </c>
      <c r="G127" s="1">
        <v>7</v>
      </c>
      <c r="H127" s="5">
        <v>45897</v>
      </c>
      <c r="I127" s="1" t="s">
        <v>18</v>
      </c>
      <c r="J127" s="1">
        <f t="shared" si="3"/>
        <v>-4</v>
      </c>
      <c r="K127" s="1"/>
      <c r="L127" s="12" t="str">
        <f t="shared" si="4"/>
        <v/>
      </c>
      <c r="M127" s="10"/>
    </row>
    <row r="128" spans="1:13" ht="19.5" customHeight="1">
      <c r="A128" s="3">
        <v>52713262</v>
      </c>
      <c r="B128" s="4" t="s">
        <v>399</v>
      </c>
      <c r="C128" s="1" t="s">
        <v>400</v>
      </c>
      <c r="D128" s="1" t="s">
        <v>22</v>
      </c>
      <c r="E128" s="1" t="s">
        <v>401</v>
      </c>
      <c r="F128" s="1" t="s">
        <v>54</v>
      </c>
      <c r="G128" s="1">
        <v>6</v>
      </c>
      <c r="H128" s="5">
        <v>45900</v>
      </c>
      <c r="I128" s="1" t="s">
        <v>36</v>
      </c>
      <c r="J128" s="1">
        <f t="shared" si="3"/>
        <v>10</v>
      </c>
      <c r="K128" s="1" t="s">
        <v>402</v>
      </c>
      <c r="L128" s="12" t="str">
        <f t="shared" si="4"/>
        <v>10,542,652</v>
      </c>
      <c r="M128" s="10">
        <f t="shared" si="5"/>
        <v>0.19999999241177677</v>
      </c>
    </row>
    <row r="129" spans="1:13" ht="19.5" customHeight="1">
      <c r="A129" s="3">
        <v>12613652</v>
      </c>
      <c r="B129" s="4" t="s">
        <v>403</v>
      </c>
      <c r="C129" s="1" t="s">
        <v>404</v>
      </c>
      <c r="D129" s="1" t="s">
        <v>15</v>
      </c>
      <c r="E129" s="1" t="s">
        <v>213</v>
      </c>
      <c r="F129" s="1" t="s">
        <v>35</v>
      </c>
      <c r="G129" s="1">
        <v>3</v>
      </c>
      <c r="H129" s="5">
        <v>45902</v>
      </c>
      <c r="I129" s="1" t="s">
        <v>36</v>
      </c>
      <c r="J129" s="1">
        <f t="shared" si="3"/>
        <v>9</v>
      </c>
      <c r="K129" s="1" t="s">
        <v>405</v>
      </c>
      <c r="L129" s="12" t="str">
        <f t="shared" si="4"/>
        <v>4,959,324</v>
      </c>
      <c r="M129" s="10">
        <f t="shared" si="5"/>
        <v>0.39317114504189588</v>
      </c>
    </row>
    <row r="130" spans="1:13" ht="19.5" customHeight="1">
      <c r="A130" s="3">
        <v>8000000</v>
      </c>
      <c r="B130" s="6" t="s">
        <v>406</v>
      </c>
      <c r="C130" s="1" t="s">
        <v>407</v>
      </c>
      <c r="D130" s="1" t="s">
        <v>15</v>
      </c>
      <c r="E130" s="1" t="s">
        <v>71</v>
      </c>
      <c r="F130" s="1" t="s">
        <v>29</v>
      </c>
      <c r="G130" s="1">
        <v>1</v>
      </c>
      <c r="H130" s="5">
        <v>45478</v>
      </c>
      <c r="I130" s="1" t="s">
        <v>36</v>
      </c>
      <c r="J130" s="1">
        <f t="shared" si="3"/>
        <v>9</v>
      </c>
      <c r="K130" s="1" t="s">
        <v>408</v>
      </c>
      <c r="L130" s="12" t="str">
        <f t="shared" si="4"/>
        <v>2,250,000</v>
      </c>
      <c r="M130" s="10">
        <f t="shared" si="5"/>
        <v>0.28125</v>
      </c>
    </row>
    <row r="131" spans="1:13" ht="19.5" customHeight="1">
      <c r="A131" s="3">
        <v>1800000</v>
      </c>
      <c r="B131" s="6" t="s">
        <v>409</v>
      </c>
      <c r="C131" s="1" t="s">
        <v>410</v>
      </c>
      <c r="D131" s="1" t="s">
        <v>33</v>
      </c>
      <c r="E131" s="1" t="s">
        <v>411</v>
      </c>
      <c r="F131" s="1" t="s">
        <v>35</v>
      </c>
      <c r="G131" s="1">
        <v>2</v>
      </c>
      <c r="H131" s="5">
        <v>45478</v>
      </c>
      <c r="I131" s="1" t="s">
        <v>18</v>
      </c>
      <c r="J131" s="1">
        <f t="shared" ref="J131:J150" si="6">LEN(K131)-4</f>
        <v>-4</v>
      </c>
      <c r="K131" s="1"/>
      <c r="L131" s="12" t="str">
        <f t="shared" ref="L131:L150" si="7">IFERROR(IF(I131="Installments",LEFT(K131,J131),""),A131*0.17)</f>
        <v/>
      </c>
      <c r="M131" s="10"/>
    </row>
    <row r="132" spans="1:13" ht="19.5" customHeight="1">
      <c r="A132" s="3">
        <v>17294000</v>
      </c>
      <c r="B132" s="4" t="s">
        <v>412</v>
      </c>
      <c r="C132" s="1" t="s">
        <v>201</v>
      </c>
      <c r="D132" s="1" t="s">
        <v>33</v>
      </c>
      <c r="E132" s="1" t="s">
        <v>413</v>
      </c>
      <c r="F132" s="1" t="s">
        <v>35</v>
      </c>
      <c r="G132" s="1">
        <v>3</v>
      </c>
      <c r="H132" s="5">
        <v>45901</v>
      </c>
      <c r="I132" s="1" t="s">
        <v>36</v>
      </c>
      <c r="J132" s="1">
        <f t="shared" si="6"/>
        <v>7</v>
      </c>
      <c r="K132" s="1" t="s">
        <v>414</v>
      </c>
      <c r="L132" s="12" t="str">
        <f t="shared" si="7"/>
        <v>864,700</v>
      </c>
      <c r="M132" s="10">
        <f t="shared" ref="M132:M148" si="8">L132/A132</f>
        <v>0.05</v>
      </c>
    </row>
    <row r="133" spans="1:13" ht="19.5" customHeight="1">
      <c r="A133" s="3">
        <v>15230000</v>
      </c>
      <c r="B133" s="4" t="s">
        <v>415</v>
      </c>
      <c r="C133" s="1" t="s">
        <v>163</v>
      </c>
      <c r="D133" s="1" t="s">
        <v>22</v>
      </c>
      <c r="E133" s="1" t="s">
        <v>416</v>
      </c>
      <c r="F133" s="1" t="s">
        <v>24</v>
      </c>
      <c r="G133" s="1">
        <v>4</v>
      </c>
      <c r="H133" s="5">
        <v>45890</v>
      </c>
      <c r="I133" s="1" t="s">
        <v>36</v>
      </c>
      <c r="J133" s="1">
        <f t="shared" si="6"/>
        <v>9</v>
      </c>
      <c r="K133" s="1" t="s">
        <v>417</v>
      </c>
      <c r="L133" s="12" t="str">
        <f t="shared" si="7"/>
        <v>5,586,000</v>
      </c>
      <c r="M133" s="10">
        <f t="shared" si="8"/>
        <v>0.36677609980302034</v>
      </c>
    </row>
    <row r="134" spans="1:13" ht="19.5" customHeight="1">
      <c r="A134" s="3">
        <v>325000</v>
      </c>
      <c r="B134" s="4" t="s">
        <v>418</v>
      </c>
      <c r="C134" s="1" t="s">
        <v>231</v>
      </c>
      <c r="D134" s="1" t="s">
        <v>33</v>
      </c>
      <c r="E134" s="1" t="s">
        <v>104</v>
      </c>
      <c r="F134" s="1" t="s">
        <v>29</v>
      </c>
      <c r="G134" s="1">
        <v>2</v>
      </c>
      <c r="H134" s="5">
        <v>45888</v>
      </c>
      <c r="I134" s="1" t="s">
        <v>18</v>
      </c>
      <c r="J134" s="1">
        <f t="shared" si="6"/>
        <v>-4</v>
      </c>
      <c r="K134" s="1"/>
      <c r="L134" s="12" t="str">
        <f t="shared" si="7"/>
        <v/>
      </c>
      <c r="M134" s="10"/>
    </row>
    <row r="135" spans="1:13" ht="19.5" customHeight="1">
      <c r="A135" s="3">
        <v>5669240</v>
      </c>
      <c r="B135" s="4" t="s">
        <v>419</v>
      </c>
      <c r="C135" s="1" t="s">
        <v>420</v>
      </c>
      <c r="D135" s="1" t="s">
        <v>15</v>
      </c>
      <c r="E135" s="1" t="s">
        <v>310</v>
      </c>
      <c r="F135" s="1" t="s">
        <v>29</v>
      </c>
      <c r="G135" s="1">
        <v>2</v>
      </c>
      <c r="H135" s="5">
        <v>45888</v>
      </c>
      <c r="I135" s="1" t="s">
        <v>36</v>
      </c>
      <c r="J135" s="1">
        <f t="shared" si="6"/>
        <v>7</v>
      </c>
      <c r="K135" s="1" t="s">
        <v>421</v>
      </c>
      <c r="L135" s="12" t="str">
        <f t="shared" si="7"/>
        <v>325,000</v>
      </c>
      <c r="M135" s="10">
        <f t="shared" si="8"/>
        <v>5.7326908015889258E-2</v>
      </c>
    </row>
    <row r="136" spans="1:13" ht="19.5" customHeight="1">
      <c r="A136" s="3">
        <v>10900000</v>
      </c>
      <c r="B136" s="4" t="s">
        <v>422</v>
      </c>
      <c r="C136" s="1" t="s">
        <v>423</v>
      </c>
      <c r="D136" s="1" t="s">
        <v>49</v>
      </c>
      <c r="E136" s="1" t="s">
        <v>424</v>
      </c>
      <c r="F136" s="1" t="s">
        <v>35</v>
      </c>
      <c r="G136" s="1">
        <v>3</v>
      </c>
      <c r="H136" s="5">
        <v>45844</v>
      </c>
      <c r="I136" s="1" t="s">
        <v>18</v>
      </c>
      <c r="J136" s="1">
        <f t="shared" si="6"/>
        <v>7</v>
      </c>
      <c r="K136" s="1" t="s">
        <v>425</v>
      </c>
      <c r="L136" s="12" t="str">
        <f t="shared" si="7"/>
        <v/>
      </c>
      <c r="M136" s="10"/>
    </row>
    <row r="137" spans="1:13" ht="19.5" customHeight="1">
      <c r="A137" s="3">
        <v>3745575</v>
      </c>
      <c r="B137" s="4" t="s">
        <v>426</v>
      </c>
      <c r="C137" s="1" t="s">
        <v>427</v>
      </c>
      <c r="D137" s="1" t="s">
        <v>33</v>
      </c>
      <c r="E137" s="1" t="s">
        <v>411</v>
      </c>
      <c r="F137" s="1" t="s">
        <v>35</v>
      </c>
      <c r="G137" s="1">
        <v>3</v>
      </c>
      <c r="H137" s="5">
        <v>45844</v>
      </c>
      <c r="I137" s="1" t="s">
        <v>18</v>
      </c>
      <c r="J137" s="1">
        <f t="shared" si="6"/>
        <v>7</v>
      </c>
      <c r="K137" s="1" t="s">
        <v>428</v>
      </c>
      <c r="L137" s="12" t="str">
        <f t="shared" si="7"/>
        <v/>
      </c>
      <c r="M137" s="10"/>
    </row>
    <row r="138" spans="1:13" ht="19.5" customHeight="1">
      <c r="A138" s="3">
        <v>6000000</v>
      </c>
      <c r="B138" s="6" t="s">
        <v>429</v>
      </c>
      <c r="C138" s="1" t="s">
        <v>363</v>
      </c>
      <c r="D138" s="1" t="s">
        <v>33</v>
      </c>
      <c r="E138" s="1" t="s">
        <v>161</v>
      </c>
      <c r="F138" s="1" t="s">
        <v>29</v>
      </c>
      <c r="G138" s="1">
        <v>2</v>
      </c>
      <c r="H138" s="5">
        <v>45847</v>
      </c>
      <c r="I138" s="1" t="s">
        <v>18</v>
      </c>
      <c r="J138" s="1">
        <f t="shared" si="6"/>
        <v>-4</v>
      </c>
      <c r="K138" s="1"/>
      <c r="L138" s="12" t="str">
        <f t="shared" si="7"/>
        <v/>
      </c>
      <c r="M138" s="10"/>
    </row>
    <row r="139" spans="1:13" ht="19.5" customHeight="1">
      <c r="A139" s="3">
        <v>24557000</v>
      </c>
      <c r="B139" s="4" t="s">
        <v>430</v>
      </c>
      <c r="C139" s="1" t="s">
        <v>140</v>
      </c>
      <c r="D139" s="1" t="s">
        <v>22</v>
      </c>
      <c r="E139" s="1" t="s">
        <v>431</v>
      </c>
      <c r="F139" s="1" t="s">
        <v>35</v>
      </c>
      <c r="G139" s="1">
        <v>3</v>
      </c>
      <c r="H139" s="5">
        <v>45855</v>
      </c>
      <c r="I139" s="1" t="s">
        <v>36</v>
      </c>
      <c r="J139" s="1">
        <f t="shared" si="6"/>
        <v>10</v>
      </c>
      <c r="K139" s="1" t="s">
        <v>432</v>
      </c>
      <c r="L139" s="12" t="str">
        <f t="shared" si="7"/>
        <v>11,378,500</v>
      </c>
      <c r="M139" s="10">
        <f t="shared" si="8"/>
        <v>0.46335057213829051</v>
      </c>
    </row>
    <row r="140" spans="1:13" ht="19.5" customHeight="1">
      <c r="A140" s="3">
        <v>27500000</v>
      </c>
      <c r="B140" s="4" t="s">
        <v>433</v>
      </c>
      <c r="C140" s="1" t="s">
        <v>309</v>
      </c>
      <c r="D140" s="1" t="s">
        <v>49</v>
      </c>
      <c r="E140" s="1" t="s">
        <v>297</v>
      </c>
      <c r="F140" s="1" t="s">
        <v>35</v>
      </c>
      <c r="G140" s="1">
        <v>4</v>
      </c>
      <c r="H140" s="5">
        <v>45901</v>
      </c>
      <c r="I140" s="1" t="s">
        <v>18</v>
      </c>
      <c r="J140" s="1">
        <f t="shared" si="6"/>
        <v>7</v>
      </c>
      <c r="K140" s="1" t="s">
        <v>94</v>
      </c>
      <c r="L140" s="12" t="str">
        <f t="shared" si="7"/>
        <v/>
      </c>
      <c r="M140" s="10"/>
    </row>
    <row r="141" spans="1:13" ht="19.5" customHeight="1">
      <c r="A141" s="3">
        <v>3600000</v>
      </c>
      <c r="B141" s="4" t="s">
        <v>434</v>
      </c>
      <c r="C141" s="1" t="s">
        <v>435</v>
      </c>
      <c r="D141" s="1" t="s">
        <v>33</v>
      </c>
      <c r="E141" s="1" t="s">
        <v>436</v>
      </c>
      <c r="F141" s="1" t="s">
        <v>17</v>
      </c>
      <c r="G141" s="1">
        <v>1</v>
      </c>
      <c r="H141" s="5">
        <v>45899</v>
      </c>
      <c r="I141" s="1" t="s">
        <v>36</v>
      </c>
      <c r="J141" s="1">
        <f t="shared" si="6"/>
        <v>7</v>
      </c>
      <c r="K141" s="1" t="s">
        <v>437</v>
      </c>
      <c r="L141" s="12" t="str">
        <f t="shared" si="7"/>
        <v>180,000</v>
      </c>
      <c r="M141" s="10">
        <f t="shared" si="8"/>
        <v>0.05</v>
      </c>
    </row>
    <row r="142" spans="1:13" ht="19.5" customHeight="1">
      <c r="A142" s="3">
        <v>9000000</v>
      </c>
      <c r="B142" s="4" t="s">
        <v>438</v>
      </c>
      <c r="C142" s="1" t="s">
        <v>107</v>
      </c>
      <c r="D142" s="1" t="s">
        <v>60</v>
      </c>
      <c r="E142" s="1" t="s">
        <v>101</v>
      </c>
      <c r="F142" s="1" t="s">
        <v>29</v>
      </c>
      <c r="G142" s="1">
        <v>3</v>
      </c>
      <c r="H142" s="5">
        <v>45900</v>
      </c>
      <c r="I142" s="1" t="s">
        <v>36</v>
      </c>
      <c r="J142" s="1">
        <f t="shared" si="6"/>
        <v>-4</v>
      </c>
      <c r="K142" s="1"/>
      <c r="L142" s="12">
        <f t="shared" si="7"/>
        <v>1530000</v>
      </c>
      <c r="M142" s="10"/>
    </row>
    <row r="143" spans="1:13" ht="19.5" customHeight="1">
      <c r="A143" s="3">
        <v>8600000</v>
      </c>
      <c r="B143" s="4" t="s">
        <v>439</v>
      </c>
      <c r="C143" s="1" t="s">
        <v>198</v>
      </c>
      <c r="D143" s="1" t="s">
        <v>33</v>
      </c>
      <c r="E143" s="1" t="s">
        <v>357</v>
      </c>
      <c r="F143" s="1" t="s">
        <v>35</v>
      </c>
      <c r="G143" s="1">
        <v>3</v>
      </c>
      <c r="H143" s="5">
        <v>45902</v>
      </c>
      <c r="I143" s="1" t="s">
        <v>18</v>
      </c>
      <c r="J143" s="1">
        <f t="shared" si="6"/>
        <v>9</v>
      </c>
      <c r="K143" s="1" t="s">
        <v>116</v>
      </c>
      <c r="L143" s="12" t="str">
        <f t="shared" si="7"/>
        <v/>
      </c>
      <c r="M143" s="10"/>
    </row>
    <row r="144" spans="1:13" ht="19.5" customHeight="1">
      <c r="A144" s="3">
        <v>16500000</v>
      </c>
      <c r="B144" s="4" t="s">
        <v>440</v>
      </c>
      <c r="C144" s="1" t="s">
        <v>441</v>
      </c>
      <c r="D144" s="1" t="s">
        <v>60</v>
      </c>
      <c r="E144" s="1" t="s">
        <v>61</v>
      </c>
      <c r="F144" s="1" t="s">
        <v>35</v>
      </c>
      <c r="G144" s="1">
        <v>3</v>
      </c>
      <c r="H144" s="5">
        <v>45901</v>
      </c>
      <c r="I144" s="1" t="s">
        <v>36</v>
      </c>
      <c r="J144" s="1">
        <f t="shared" si="6"/>
        <v>2</v>
      </c>
      <c r="K144" s="1" t="s">
        <v>442</v>
      </c>
      <c r="L144" s="12" t="str">
        <f t="shared" si="7"/>
        <v>25</v>
      </c>
      <c r="M144" s="10">
        <f t="shared" si="8"/>
        <v>1.5151515151515152E-6</v>
      </c>
    </row>
    <row r="145" spans="1:13" ht="19.5" customHeight="1">
      <c r="A145" s="3">
        <v>21000000</v>
      </c>
      <c r="B145" s="4" t="s">
        <v>443</v>
      </c>
      <c r="C145" s="1" t="s">
        <v>274</v>
      </c>
      <c r="D145" s="1" t="s">
        <v>128</v>
      </c>
      <c r="E145" s="1" t="s">
        <v>444</v>
      </c>
      <c r="F145" s="1" t="s">
        <v>35</v>
      </c>
      <c r="G145" s="1">
        <v>3</v>
      </c>
      <c r="H145" s="5">
        <v>45845</v>
      </c>
      <c r="I145" s="1" t="s">
        <v>36</v>
      </c>
      <c r="J145" s="1">
        <f t="shared" si="6"/>
        <v>9</v>
      </c>
      <c r="K145" s="1" t="s">
        <v>25</v>
      </c>
      <c r="L145" s="12" t="str">
        <f t="shared" si="7"/>
        <v>2,100,000</v>
      </c>
      <c r="M145" s="10">
        <f t="shared" si="8"/>
        <v>0.1</v>
      </c>
    </row>
    <row r="146" spans="1:13" ht="19.5" customHeight="1">
      <c r="A146" s="3">
        <v>10450000</v>
      </c>
      <c r="B146" s="4" t="s">
        <v>445</v>
      </c>
      <c r="C146" s="1" t="s">
        <v>363</v>
      </c>
      <c r="D146" s="1" t="s">
        <v>60</v>
      </c>
      <c r="E146" s="1" t="s">
        <v>446</v>
      </c>
      <c r="F146" s="1" t="s">
        <v>35</v>
      </c>
      <c r="G146" s="1">
        <v>3</v>
      </c>
      <c r="H146" s="5">
        <v>45902</v>
      </c>
      <c r="I146" s="1" t="s">
        <v>18</v>
      </c>
      <c r="J146" s="1">
        <f t="shared" si="6"/>
        <v>-4</v>
      </c>
      <c r="K146" s="1"/>
      <c r="L146" s="12" t="str">
        <f t="shared" si="7"/>
        <v/>
      </c>
      <c r="M146" s="10"/>
    </row>
    <row r="147" spans="1:13" ht="19.5" customHeight="1">
      <c r="A147" s="3">
        <v>30000000</v>
      </c>
      <c r="B147" s="7" t="s">
        <v>447</v>
      </c>
      <c r="C147" s="1" t="s">
        <v>103</v>
      </c>
      <c r="D147" s="1" t="s">
        <v>22</v>
      </c>
      <c r="E147" s="1" t="s">
        <v>448</v>
      </c>
      <c r="F147" s="1" t="s">
        <v>54</v>
      </c>
      <c r="G147" s="1">
        <v>5</v>
      </c>
      <c r="H147" s="5">
        <v>45900</v>
      </c>
      <c r="I147" s="1" t="s">
        <v>18</v>
      </c>
      <c r="J147" s="1">
        <f t="shared" si="6"/>
        <v>9</v>
      </c>
      <c r="K147" s="1" t="s">
        <v>383</v>
      </c>
      <c r="L147" s="12" t="str">
        <f t="shared" si="7"/>
        <v/>
      </c>
      <c r="M147" s="10"/>
    </row>
    <row r="148" spans="1:13" ht="19.5" customHeight="1">
      <c r="A148" s="3">
        <v>18902000</v>
      </c>
      <c r="B148" s="4" t="s">
        <v>449</v>
      </c>
      <c r="C148" s="1" t="s">
        <v>450</v>
      </c>
      <c r="D148" s="1" t="s">
        <v>33</v>
      </c>
      <c r="E148" s="1" t="s">
        <v>313</v>
      </c>
      <c r="F148" s="1" t="s">
        <v>29</v>
      </c>
      <c r="G148" s="1">
        <v>2</v>
      </c>
      <c r="H148" s="5">
        <v>45901</v>
      </c>
      <c r="I148" s="1" t="s">
        <v>36</v>
      </c>
      <c r="J148" s="1">
        <f t="shared" si="6"/>
        <v>7</v>
      </c>
      <c r="K148" s="1" t="s">
        <v>451</v>
      </c>
      <c r="L148" s="12" t="str">
        <f t="shared" si="7"/>
        <v>945,000</v>
      </c>
      <c r="M148" s="10">
        <f t="shared" si="8"/>
        <v>4.9994709554544492E-2</v>
      </c>
    </row>
    <row r="149" spans="1:13" ht="19.5" customHeight="1">
      <c r="A149" s="3">
        <v>3700000</v>
      </c>
      <c r="B149" s="4" t="s">
        <v>452</v>
      </c>
      <c r="C149" s="1" t="s">
        <v>453</v>
      </c>
      <c r="D149" s="1" t="s">
        <v>33</v>
      </c>
      <c r="E149" s="1" t="s">
        <v>91</v>
      </c>
      <c r="F149" s="1" t="s">
        <v>17</v>
      </c>
      <c r="G149" s="1">
        <v>1</v>
      </c>
      <c r="H149" s="5">
        <v>45902</v>
      </c>
      <c r="I149" s="1" t="s">
        <v>18</v>
      </c>
      <c r="J149" s="1">
        <f t="shared" si="6"/>
        <v>7</v>
      </c>
      <c r="K149" s="1" t="s">
        <v>454</v>
      </c>
      <c r="L149" s="12" t="str">
        <f t="shared" si="7"/>
        <v/>
      </c>
      <c r="M149" s="10"/>
    </row>
    <row r="150" spans="1:13" ht="19.5" customHeight="1">
      <c r="A150" s="3">
        <v>12350000</v>
      </c>
      <c r="B150" s="4" t="s">
        <v>455</v>
      </c>
      <c r="C150" s="1" t="s">
        <v>190</v>
      </c>
      <c r="D150" s="1" t="s">
        <v>49</v>
      </c>
      <c r="E150" s="1" t="s">
        <v>456</v>
      </c>
      <c r="F150" s="1" t="s">
        <v>35</v>
      </c>
      <c r="G150" s="1">
        <v>3</v>
      </c>
      <c r="H150" s="5">
        <v>45897</v>
      </c>
      <c r="I150" s="1" t="s">
        <v>18</v>
      </c>
      <c r="J150" s="1">
        <f t="shared" si="6"/>
        <v>7</v>
      </c>
      <c r="K150" s="1" t="s">
        <v>457</v>
      </c>
      <c r="L150" s="12" t="str">
        <f t="shared" si="7"/>
        <v/>
      </c>
      <c r="M150" s="10"/>
    </row>
    <row r="151" spans="1:13" ht="19.5" customHeight="1">
      <c r="M151" s="10">
        <f>AVERAGE(M2:M150)</f>
        <v>0.17199636850376068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F581-08F5-4898-988C-674E5B4B8CA3}">
  <dimension ref="A3:J54"/>
  <sheetViews>
    <sheetView tabSelected="1" topLeftCell="A36" workbookViewId="0">
      <selection activeCell="A42" sqref="A42"/>
    </sheetView>
  </sheetViews>
  <sheetFormatPr defaultRowHeight="15"/>
  <cols>
    <col min="1" max="1" width="20.140625" bestFit="1" customWidth="1"/>
    <col min="2" max="2" width="14.85546875" bestFit="1" customWidth="1"/>
    <col min="3" max="3" width="3.28515625" bestFit="1" customWidth="1"/>
    <col min="4" max="4" width="4.42578125" bestFit="1" customWidth="1"/>
    <col min="5" max="6" width="3.28515625" bestFit="1" customWidth="1"/>
    <col min="7" max="7" width="2.28515625" bestFit="1" customWidth="1"/>
    <col min="8" max="8" width="3.28515625" bestFit="1" customWidth="1"/>
    <col min="9" max="10" width="11.7109375" bestFit="1" customWidth="1"/>
  </cols>
  <sheetData>
    <row r="3" spans="1:2">
      <c r="A3" s="9" t="s">
        <v>3</v>
      </c>
      <c r="B3" t="s">
        <v>458</v>
      </c>
    </row>
    <row r="4" spans="1:2">
      <c r="A4" t="s">
        <v>33</v>
      </c>
      <c r="B4">
        <v>58</v>
      </c>
    </row>
    <row r="5" spans="1:2">
      <c r="A5" t="s">
        <v>15</v>
      </c>
      <c r="B5">
        <v>40</v>
      </c>
    </row>
    <row r="6" spans="1:2">
      <c r="A6" t="s">
        <v>60</v>
      </c>
      <c r="B6">
        <v>7</v>
      </c>
    </row>
    <row r="7" spans="1:2">
      <c r="A7" t="s">
        <v>65</v>
      </c>
      <c r="B7">
        <v>1</v>
      </c>
    </row>
    <row r="8" spans="1:2">
      <c r="A8" t="s">
        <v>49</v>
      </c>
      <c r="B8">
        <v>7</v>
      </c>
    </row>
    <row r="9" spans="1:2">
      <c r="A9" t="s">
        <v>128</v>
      </c>
      <c r="B9">
        <v>12</v>
      </c>
    </row>
    <row r="10" spans="1:2">
      <c r="A10" t="s">
        <v>57</v>
      </c>
      <c r="B10">
        <v>4</v>
      </c>
    </row>
    <row r="11" spans="1:2">
      <c r="A11" t="s">
        <v>22</v>
      </c>
      <c r="B11">
        <v>20</v>
      </c>
    </row>
    <row r="12" spans="1:2">
      <c r="A12" t="s">
        <v>459</v>
      </c>
      <c r="B12">
        <v>149</v>
      </c>
    </row>
    <row r="16" spans="1:2">
      <c r="A16" s="9" t="s">
        <v>460</v>
      </c>
      <c r="B16" s="9" t="s">
        <v>5</v>
      </c>
    </row>
    <row r="17" spans="1:10">
      <c r="A17" s="9" t="s">
        <v>3</v>
      </c>
      <c r="B17" t="s">
        <v>17</v>
      </c>
      <c r="C17" t="s">
        <v>29</v>
      </c>
      <c r="D17" t="s">
        <v>35</v>
      </c>
      <c r="E17" t="s">
        <v>24</v>
      </c>
      <c r="F17" t="s">
        <v>54</v>
      </c>
      <c r="G17" t="s">
        <v>398</v>
      </c>
      <c r="H17" t="s">
        <v>41</v>
      </c>
      <c r="I17">
        <v>1</v>
      </c>
      <c r="J17" t="s">
        <v>459</v>
      </c>
    </row>
    <row r="18" spans="1:10">
      <c r="A18" t="s">
        <v>33</v>
      </c>
      <c r="B18">
        <v>12</v>
      </c>
      <c r="C18">
        <v>15</v>
      </c>
      <c r="D18">
        <v>25</v>
      </c>
      <c r="I18">
        <v>6</v>
      </c>
      <c r="J18">
        <v>58</v>
      </c>
    </row>
    <row r="19" spans="1:10">
      <c r="A19" t="s">
        <v>15</v>
      </c>
      <c r="B19">
        <v>7</v>
      </c>
      <c r="C19">
        <v>20</v>
      </c>
      <c r="D19">
        <v>12</v>
      </c>
      <c r="I19">
        <v>1</v>
      </c>
      <c r="J19">
        <v>40</v>
      </c>
    </row>
    <row r="20" spans="1:10">
      <c r="A20" t="s">
        <v>60</v>
      </c>
      <c r="C20">
        <v>2</v>
      </c>
      <c r="D20">
        <v>4</v>
      </c>
      <c r="E20">
        <v>1</v>
      </c>
      <c r="J20">
        <v>7</v>
      </c>
    </row>
    <row r="21" spans="1:10">
      <c r="A21" t="s">
        <v>65</v>
      </c>
      <c r="D21">
        <v>1</v>
      </c>
      <c r="J21">
        <v>1</v>
      </c>
    </row>
    <row r="22" spans="1:10">
      <c r="A22" t="s">
        <v>49</v>
      </c>
      <c r="C22">
        <v>1</v>
      </c>
      <c r="D22">
        <v>4</v>
      </c>
      <c r="E22">
        <v>2</v>
      </c>
      <c r="J22">
        <v>7</v>
      </c>
    </row>
    <row r="23" spans="1:10">
      <c r="A23" t="s">
        <v>128</v>
      </c>
      <c r="C23">
        <v>1</v>
      </c>
      <c r="D23">
        <v>7</v>
      </c>
      <c r="E23">
        <v>4</v>
      </c>
      <c r="J23">
        <v>12</v>
      </c>
    </row>
    <row r="24" spans="1:10">
      <c r="A24" t="s">
        <v>57</v>
      </c>
      <c r="D24">
        <v>3</v>
      </c>
      <c r="E24">
        <v>1</v>
      </c>
      <c r="J24">
        <v>4</v>
      </c>
    </row>
    <row r="25" spans="1:10">
      <c r="A25" t="s">
        <v>22</v>
      </c>
      <c r="C25">
        <v>1</v>
      </c>
      <c r="D25">
        <v>5</v>
      </c>
      <c r="E25">
        <v>6</v>
      </c>
      <c r="F25">
        <v>5</v>
      </c>
      <c r="G25">
        <v>1</v>
      </c>
      <c r="H25">
        <v>2</v>
      </c>
      <c r="J25">
        <v>20</v>
      </c>
    </row>
    <row r="26" spans="1:10">
      <c r="A26" t="s">
        <v>459</v>
      </c>
      <c r="B26">
        <v>19</v>
      </c>
      <c r="C26">
        <v>40</v>
      </c>
      <c r="D26">
        <v>61</v>
      </c>
      <c r="E26">
        <v>14</v>
      </c>
      <c r="F26">
        <v>5</v>
      </c>
      <c r="G26">
        <v>1</v>
      </c>
      <c r="H26">
        <v>2</v>
      </c>
      <c r="I26">
        <v>7</v>
      </c>
      <c r="J26">
        <v>149</v>
      </c>
    </row>
    <row r="27" spans="1:10">
      <c r="B27">
        <f>B26*B17</f>
        <v>19</v>
      </c>
      <c r="C27">
        <f t="shared" ref="C27:I27" si="0">C26*C17</f>
        <v>80</v>
      </c>
      <c r="D27">
        <f t="shared" si="0"/>
        <v>183</v>
      </c>
      <c r="E27">
        <f t="shared" si="0"/>
        <v>56</v>
      </c>
      <c r="F27">
        <f t="shared" si="0"/>
        <v>25</v>
      </c>
      <c r="G27">
        <f t="shared" si="0"/>
        <v>6</v>
      </c>
      <c r="H27">
        <f t="shared" si="0"/>
        <v>14</v>
      </c>
      <c r="I27">
        <f t="shared" si="0"/>
        <v>7</v>
      </c>
      <c r="J27">
        <f>SUM(B27:I27)</f>
        <v>390</v>
      </c>
    </row>
    <row r="37" spans="1:9">
      <c r="A37" s="9" t="s">
        <v>461</v>
      </c>
      <c r="B37" s="9" t="s">
        <v>6</v>
      </c>
    </row>
    <row r="38" spans="1:9">
      <c r="A38" s="9" t="s">
        <v>3</v>
      </c>
      <c r="B38">
        <v>1</v>
      </c>
      <c r="C38">
        <v>2</v>
      </c>
      <c r="D38">
        <v>3</v>
      </c>
      <c r="E38">
        <v>4</v>
      </c>
      <c r="F38">
        <v>5</v>
      </c>
      <c r="G38">
        <v>6</v>
      </c>
      <c r="H38">
        <v>7</v>
      </c>
      <c r="I38" t="s">
        <v>459</v>
      </c>
    </row>
    <row r="39" spans="1:9">
      <c r="A39" t="s">
        <v>33</v>
      </c>
      <c r="B39">
        <v>21</v>
      </c>
      <c r="C39">
        <v>20</v>
      </c>
      <c r="D39">
        <v>15</v>
      </c>
      <c r="E39">
        <v>2</v>
      </c>
      <c r="I39">
        <v>58</v>
      </c>
    </row>
    <row r="40" spans="1:9">
      <c r="A40" t="s">
        <v>15</v>
      </c>
      <c r="B40">
        <v>11</v>
      </c>
      <c r="C40">
        <v>15</v>
      </c>
      <c r="D40">
        <v>13</v>
      </c>
      <c r="E40">
        <v>1</v>
      </c>
      <c r="I40">
        <v>40</v>
      </c>
    </row>
    <row r="41" spans="1:9">
      <c r="A41" t="s">
        <v>60</v>
      </c>
      <c r="C41">
        <v>1</v>
      </c>
      <c r="D41">
        <v>5</v>
      </c>
      <c r="E41">
        <v>1</v>
      </c>
      <c r="I41">
        <v>7</v>
      </c>
    </row>
    <row r="42" spans="1:9">
      <c r="A42" t="s">
        <v>65</v>
      </c>
      <c r="E42">
        <v>1</v>
      </c>
      <c r="I42">
        <v>1</v>
      </c>
    </row>
    <row r="43" spans="1:9">
      <c r="A43" t="s">
        <v>49</v>
      </c>
      <c r="D43">
        <v>4</v>
      </c>
      <c r="E43">
        <v>2</v>
      </c>
      <c r="F43">
        <v>1</v>
      </c>
      <c r="I43">
        <v>7</v>
      </c>
    </row>
    <row r="44" spans="1:9">
      <c r="A44" t="s">
        <v>128</v>
      </c>
      <c r="C44">
        <v>2</v>
      </c>
      <c r="D44">
        <v>6</v>
      </c>
      <c r="E44">
        <v>2</v>
      </c>
      <c r="F44">
        <v>2</v>
      </c>
      <c r="I44">
        <v>12</v>
      </c>
    </row>
    <row r="45" spans="1:9">
      <c r="A45" t="s">
        <v>57</v>
      </c>
      <c r="D45">
        <v>2</v>
      </c>
      <c r="E45">
        <v>2</v>
      </c>
      <c r="I45">
        <v>4</v>
      </c>
    </row>
    <row r="46" spans="1:9">
      <c r="A46" t="s">
        <v>22</v>
      </c>
      <c r="C46">
        <v>1</v>
      </c>
      <c r="D46">
        <v>4</v>
      </c>
      <c r="E46">
        <v>5</v>
      </c>
      <c r="F46">
        <v>7</v>
      </c>
      <c r="G46">
        <v>1</v>
      </c>
      <c r="H46">
        <v>2</v>
      </c>
      <c r="I46">
        <v>20</v>
      </c>
    </row>
    <row r="47" spans="1:9">
      <c r="A47" t="s">
        <v>459</v>
      </c>
      <c r="B47">
        <v>32</v>
      </c>
      <c r="C47">
        <v>39</v>
      </c>
      <c r="D47">
        <v>49</v>
      </c>
      <c r="E47">
        <v>16</v>
      </c>
      <c r="F47">
        <v>10</v>
      </c>
      <c r="G47">
        <v>1</v>
      </c>
      <c r="H47">
        <v>2</v>
      </c>
      <c r="I47">
        <v>149</v>
      </c>
    </row>
    <row r="48" spans="1:9">
      <c r="B48">
        <f>B47*B38</f>
        <v>32</v>
      </c>
      <c r="C48">
        <f t="shared" ref="C48" si="1">C47*C38</f>
        <v>78</v>
      </c>
      <c r="D48">
        <f t="shared" ref="D48" si="2">D47*D38</f>
        <v>147</v>
      </c>
      <c r="E48">
        <f t="shared" ref="E48" si="3">E47*E38</f>
        <v>64</v>
      </c>
      <c r="F48">
        <f t="shared" ref="F48" si="4">F47*F38</f>
        <v>50</v>
      </c>
      <c r="G48">
        <f t="shared" ref="G48" si="5">G47*G38</f>
        <v>6</v>
      </c>
      <c r="H48">
        <f t="shared" ref="H48" si="6">H47*H38</f>
        <v>14</v>
      </c>
      <c r="I48">
        <f>SUM(B48:H48)</f>
        <v>391</v>
      </c>
    </row>
    <row r="51" spans="1:2">
      <c r="A51" t="s">
        <v>462</v>
      </c>
      <c r="B51">
        <v>149</v>
      </c>
    </row>
    <row r="52" spans="1:2">
      <c r="A52" t="s">
        <v>463</v>
      </c>
      <c r="B52">
        <v>390</v>
      </c>
    </row>
    <row r="53" spans="1:2">
      <c r="A53" t="s">
        <v>464</v>
      </c>
      <c r="B53">
        <v>391</v>
      </c>
    </row>
    <row r="54" spans="1:2">
      <c r="A54" t="s">
        <v>465</v>
      </c>
      <c r="B54">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2026-04-12T18:15:04Z</dcterms:created>
  <dcterms:modified xsi:type="dcterms:W3CDTF">2026-04-13T03:26:38Z</dcterms:modified>
  <cp:category/>
  <cp:contentStatus/>
</cp:coreProperties>
</file>